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cvaughn\Documents\SANS-GSLC\cnapp-zta-hybrid\"/>
    </mc:Choice>
  </mc:AlternateContent>
  <xr:revisionPtr revIDLastSave="0" documentId="8_{7256681B-12A2-4AA4-A71E-C4669231432E}" xr6:coauthVersionLast="47" xr6:coauthVersionMax="47" xr10:uidLastSave="{00000000-0000-0000-0000-000000000000}"/>
  <bookViews>
    <workbookView xWindow="-70725" yWindow="1815" windowWidth="17280" windowHeight="8880" xr2:uid="{00000000-000D-0000-FFFF-FFFF00000000}"/>
  </bookViews>
  <sheets>
    <sheet name="CNAPP_Taxonomy" sheetId="1" r:id="rId1"/>
    <sheet name="CNAPP_ZTA_Mapping" sheetId="2" r:id="rId2"/>
    <sheet name="Alignment_Density_Summary" sheetId="3" r:id="rId3"/>
    <sheet name="ZTA_Component_Distribution" sheetId="4" r:id="rId4"/>
    <sheet name="Decision_to_PEP_Actions" sheetId="5" r:id="rId5"/>
    <sheet name="Trust_Decision_Simulator" sheetId="6" r:id="rId6"/>
    <sheet name="Trust_Case_Lo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XYVEM2wd1a2p9CaiZdnX4Xpe7eYomih+jPojbVLp63k="/>
    </ext>
  </extLst>
</workbook>
</file>

<file path=xl/calcChain.xml><?xml version="1.0" encoding="utf-8"?>
<calcChain xmlns="http://schemas.openxmlformats.org/spreadsheetml/2006/main">
  <c r="X5" i="7" l="1"/>
  <c r="W5" i="7"/>
  <c r="T5" i="7"/>
  <c r="Y5" i="7" s="1"/>
  <c r="R5" i="7"/>
  <c r="S5" i="7" s="1"/>
  <c r="R4" i="7"/>
  <c r="S4" i="7" s="1"/>
  <c r="T4" i="7" s="1"/>
  <c r="R3" i="7"/>
  <c r="S3" i="7" s="1"/>
  <c r="T3" i="7" s="1"/>
  <c r="T2" i="7"/>
  <c r="U2" i="7" s="1"/>
  <c r="S2" i="7"/>
  <c r="R2" i="7"/>
  <c r="E14" i="6"/>
  <c r="E15" i="6" s="1"/>
  <c r="E11" i="6"/>
  <c r="H4" i="6"/>
  <c r="F8" i="4"/>
  <c r="E8" i="4"/>
  <c r="D8" i="4"/>
  <c r="C8" i="4"/>
  <c r="B8" i="4"/>
  <c r="J8" i="4" s="1"/>
  <c r="F7" i="4"/>
  <c r="E7" i="4"/>
  <c r="D7" i="4"/>
  <c r="C7" i="4"/>
  <c r="B7" i="4"/>
  <c r="J7" i="4" s="1"/>
  <c r="G6" i="4"/>
  <c r="F6" i="4"/>
  <c r="J6" i="4" s="1"/>
  <c r="E6" i="4"/>
  <c r="D6" i="4"/>
  <c r="H6" i="4" s="1"/>
  <c r="C6" i="4"/>
  <c r="B6" i="4"/>
  <c r="I6" i="4" s="1"/>
  <c r="F5" i="4"/>
  <c r="E5" i="4"/>
  <c r="D5" i="4"/>
  <c r="C5" i="4"/>
  <c r="B5" i="4"/>
  <c r="J5" i="4" s="1"/>
  <c r="J4" i="4"/>
  <c r="H4" i="4"/>
  <c r="F4" i="4"/>
  <c r="E4" i="4"/>
  <c r="D4" i="4"/>
  <c r="C4" i="4"/>
  <c r="B4" i="4"/>
  <c r="I4" i="4" s="1"/>
  <c r="F3" i="4"/>
  <c r="J3" i="4" s="1"/>
  <c r="E3" i="4"/>
  <c r="I3" i="4" s="1"/>
  <c r="D3" i="4"/>
  <c r="H3" i="4" s="1"/>
  <c r="C3" i="4"/>
  <c r="G3" i="4" s="1"/>
  <c r="B3" i="4"/>
  <c r="F2" i="4"/>
  <c r="E2" i="4"/>
  <c r="D2" i="4"/>
  <c r="C2" i="4"/>
  <c r="B2" i="4"/>
  <c r="J2" i="4" s="1"/>
  <c r="J8" i="3"/>
  <c r="I8" i="3"/>
  <c r="H8" i="3"/>
  <c r="G8" i="3"/>
  <c r="E8" i="3"/>
  <c r="D8" i="3"/>
  <c r="C8" i="3"/>
  <c r="B8" i="3"/>
  <c r="F8" i="3" s="1"/>
  <c r="E7" i="3"/>
  <c r="D7" i="3"/>
  <c r="C7" i="3"/>
  <c r="I7" i="3" s="1"/>
  <c r="B7" i="3"/>
  <c r="G7" i="3" s="1"/>
  <c r="H6" i="3"/>
  <c r="E6" i="3"/>
  <c r="D6" i="3"/>
  <c r="C6" i="3"/>
  <c r="I6" i="3" s="1"/>
  <c r="B6" i="3"/>
  <c r="J6" i="3" s="1"/>
  <c r="I5" i="3"/>
  <c r="H5" i="3"/>
  <c r="G5" i="3"/>
  <c r="F5" i="3"/>
  <c r="E5" i="3"/>
  <c r="D5" i="3"/>
  <c r="C5" i="3"/>
  <c r="J5" i="3" s="1"/>
  <c r="B5" i="3"/>
  <c r="E4" i="3"/>
  <c r="D4" i="3"/>
  <c r="C4" i="3"/>
  <c r="I4" i="3" s="1"/>
  <c r="B4" i="3"/>
  <c r="F4" i="3" s="1"/>
  <c r="J3" i="3"/>
  <c r="E3" i="3"/>
  <c r="D3" i="3"/>
  <c r="C3" i="3"/>
  <c r="I3" i="3" s="1"/>
  <c r="B3" i="3"/>
  <c r="H3" i="3" s="1"/>
  <c r="I2" i="3"/>
  <c r="G2" i="3"/>
  <c r="F2" i="3"/>
  <c r="E2" i="3"/>
  <c r="H2" i="3" s="1"/>
  <c r="D2" i="3"/>
  <c r="C2" i="3"/>
  <c r="B2" i="3"/>
  <c r="J2" i="3" s="1"/>
  <c r="E17" i="6" l="1"/>
  <c r="Y4" i="7"/>
  <c r="X4" i="7"/>
  <c r="W4" i="7"/>
  <c r="V4" i="7"/>
  <c r="U4" i="7"/>
  <c r="Y3" i="7"/>
  <c r="X3" i="7"/>
  <c r="W3" i="7"/>
  <c r="V3" i="7"/>
  <c r="U3" i="7"/>
  <c r="V2" i="7"/>
  <c r="G8" i="4"/>
  <c r="W2" i="7"/>
  <c r="H8" i="4"/>
  <c r="X2" i="7"/>
  <c r="J7" i="3"/>
  <c r="F6" i="3"/>
  <c r="G2" i="4"/>
  <c r="H5" i="4"/>
  <c r="I8" i="4"/>
  <c r="Y2" i="7"/>
  <c r="H7" i="3"/>
  <c r="H4" i="3"/>
  <c r="G5" i="4"/>
  <c r="J4" i="3"/>
  <c r="F3" i="3"/>
  <c r="G6" i="3"/>
  <c r="H2" i="4"/>
  <c r="I5" i="4"/>
  <c r="G4" i="3"/>
  <c r="I2" i="4"/>
  <c r="G7" i="4"/>
  <c r="G3" i="3"/>
  <c r="G4" i="4"/>
  <c r="H7" i="4"/>
  <c r="I7" i="4"/>
  <c r="U5" i="7"/>
  <c r="V5" i="7"/>
  <c r="F7" i="3"/>
</calcChain>
</file>

<file path=xl/sharedStrings.xml><?xml version="1.0" encoding="utf-8"?>
<sst xmlns="http://schemas.openxmlformats.org/spreadsheetml/2006/main" count="764" uniqueCount="348">
  <si>
    <t>Domain</t>
  </si>
  <si>
    <t>Domain Name</t>
  </si>
  <si>
    <t>Capability ID</t>
  </si>
  <si>
    <t>Capability Name</t>
  </si>
  <si>
    <t>Description</t>
  </si>
  <si>
    <t>Domain 1</t>
  </si>
  <si>
    <t>Shift-Left &amp; Supply Chain</t>
  </si>
  <si>
    <t>SL-1</t>
  </si>
  <si>
    <t>Image Vulnerability Scanning</t>
  </si>
  <si>
    <t>Static scanning of container images prior to deployment</t>
  </si>
  <si>
    <t>SL-2</t>
  </si>
  <si>
    <t>Infrastructure-as-Code Policy Validation</t>
  </si>
  <si>
    <t>Static policy analysis of infrastructure-as-code templates</t>
  </si>
  <si>
    <t>SL-3</t>
  </si>
  <si>
    <t>Image Signature Verification</t>
  </si>
  <si>
    <t>Cryptographic verification of image provenance</t>
  </si>
  <si>
    <t>SL-4</t>
  </si>
  <si>
    <t>Secrets Detection in Source Artifacts</t>
  </si>
  <si>
    <t>Detection of embedded credentials in source artifacts</t>
  </si>
  <si>
    <t>SL-5</t>
  </si>
  <si>
    <t>SBOM Generation &amp; Validation</t>
  </si>
  <si>
    <t>Software bill of materials generation and validation</t>
  </si>
  <si>
    <t>Domain 2</t>
  </si>
  <si>
    <t>Posture Management (CSPM/KSPM)</t>
  </si>
  <si>
    <t>PM-1</t>
  </si>
  <si>
    <t>Kubernetes RBAC Drift Detection</t>
  </si>
  <si>
    <t>Detection of RBAC configuration drift in Kubernetes</t>
  </si>
  <si>
    <t>PM-2</t>
  </si>
  <si>
    <t>Cloud IAM Effective Permission Analysis</t>
  </si>
  <si>
    <t>Evaluation of effective IAM permissions</t>
  </si>
  <si>
    <t>PM-3</t>
  </si>
  <si>
    <t>Security Group Drift Detection</t>
  </si>
  <si>
    <t>Detection of unintended security group changes</t>
  </si>
  <si>
    <t>PM-4</t>
  </si>
  <si>
    <t>CIS Benchmark Compliance Validation</t>
  </si>
  <si>
    <t>Validation against CIS security benchmarks</t>
  </si>
  <si>
    <t>PM-5</t>
  </si>
  <si>
    <t>Public Resource Exposure Discovery</t>
  </si>
  <si>
    <t>Identification of publicly exposed resources</t>
  </si>
  <si>
    <t>Domain 3</t>
  </si>
  <si>
    <t>Identity &amp; Entitlements (CIEM)</t>
  </si>
  <si>
    <t>IE-1</t>
  </si>
  <si>
    <t>Excess Privilege Detection</t>
  </si>
  <si>
    <t>Identification of over-privileged identities</t>
  </si>
  <si>
    <t>IE-2</t>
  </si>
  <si>
    <t>Cross-Account Trust Relationship Analysis</t>
  </si>
  <si>
    <t>Analysis of cross-account trust configurations</t>
  </si>
  <si>
    <t>IE-3</t>
  </si>
  <si>
    <t>Role Assumption Monitoring</t>
  </si>
  <si>
    <t>Monitoring of IAM role assumption events</t>
  </si>
  <si>
    <t>IE-4</t>
  </si>
  <si>
    <t>Workload Identity Enforcement</t>
  </si>
  <si>
    <t>Enforcement of workload identity controls</t>
  </si>
  <si>
    <t>IE-5</t>
  </si>
  <si>
    <t>Temporary Credential Revocation</t>
  </si>
  <si>
    <t>Revocation of temporary or compromised credentials</t>
  </si>
  <si>
    <t>Domain 4</t>
  </si>
  <si>
    <t>Runtime Workload Protection</t>
  </si>
  <si>
    <t>RW-1</t>
  </si>
  <si>
    <t>Process Anomaly Detection</t>
  </si>
  <si>
    <t>Detection of anomalous process behavior</t>
  </si>
  <si>
    <t>RW-2</t>
  </si>
  <si>
    <t>System Call Monitoring</t>
  </si>
  <si>
    <t>Monitoring of system call activity</t>
  </si>
  <si>
    <t>RW-3</t>
  </si>
  <si>
    <t>Privilege Escalation Detection</t>
  </si>
  <si>
    <t>Detection of privilege escalation attempts</t>
  </si>
  <si>
    <t>RW-4</t>
  </si>
  <si>
    <t>Runtime Isolation / Quarantine</t>
  </si>
  <si>
    <t>Isolation or quarantine of compromised workloads</t>
  </si>
  <si>
    <t>RW-5</t>
  </si>
  <si>
    <t>Network Behavior Anomaly Detection</t>
  </si>
  <si>
    <t>Detection of anomalous network activity</t>
  </si>
  <si>
    <t>Domain 5</t>
  </si>
  <si>
    <t>Network Segmentation &amp; Enforcement</t>
  </si>
  <si>
    <t>NS-1</t>
  </si>
  <si>
    <t>Kubernetes NetworkPolicy Enforcement</t>
  </si>
  <si>
    <t>Enforcement of Kubernetes network policies</t>
  </si>
  <si>
    <t>NS-2</t>
  </si>
  <si>
    <t>VM Host Firewall Enforcement</t>
  </si>
  <si>
    <t>Enforcement of host-based firewall rules on VMs</t>
  </si>
  <si>
    <t>NS-3</t>
  </si>
  <si>
    <t>AWS Security Group Enforcement</t>
  </si>
  <si>
    <t>Enforcement of AWS security group rules</t>
  </si>
  <si>
    <t>NS-4</t>
  </si>
  <si>
    <t>Service-to-Service Authentication</t>
  </si>
  <si>
    <t>Mutual authentication between services</t>
  </si>
  <si>
    <t>NS-5</t>
  </si>
  <si>
    <t>Egress Restriction Controls</t>
  </si>
  <si>
    <t>Restriction of outbound network communications</t>
  </si>
  <si>
    <t>Domain 6</t>
  </si>
  <si>
    <t>Data Protection Controls</t>
  </si>
  <si>
    <t>DP-1</t>
  </si>
  <si>
    <t>Encryption-at-Rest Enforcement</t>
  </si>
  <si>
    <t>Enforcement of encryption for stored data</t>
  </si>
  <si>
    <t>DP-2</t>
  </si>
  <si>
    <t>Encryption-in-Transit Enforcement</t>
  </si>
  <si>
    <t>Enforcement of encrypted communications</t>
  </si>
  <si>
    <t>DP-3</t>
  </si>
  <si>
    <t>Data Access Logging</t>
  </si>
  <si>
    <t>Logging of data access events</t>
  </si>
  <si>
    <t>DP-4</t>
  </si>
  <si>
    <t>Secret Rotation</t>
  </si>
  <si>
    <t>Automated rotation of secrets</t>
  </si>
  <si>
    <t>DP-5</t>
  </si>
  <si>
    <t>Data Exposure Detection</t>
  </si>
  <si>
    <t>Detection of unintended data exposure</t>
  </si>
  <si>
    <t>Domain 7</t>
  </si>
  <si>
    <t>Detection &amp; Response Automation</t>
  </si>
  <si>
    <t>DR-1</t>
  </si>
  <si>
    <t>Alert Correlation Engine</t>
  </si>
  <si>
    <t>Correlation of alerts across telemetry sources</t>
  </si>
  <si>
    <t>DR-2</t>
  </si>
  <si>
    <t>Automated Workload Quarantine</t>
  </si>
  <si>
    <t>Automated isolation of compromised workloads</t>
  </si>
  <si>
    <t>DR-3</t>
  </si>
  <si>
    <t>IAM Role Revocation</t>
  </si>
  <si>
    <t>Revocation of IAM roles during incident response</t>
  </si>
  <si>
    <t>DR-4</t>
  </si>
  <si>
    <t>Secret Rotation Trigger</t>
  </si>
  <si>
    <t>Triggering secret rotation upon detection</t>
  </si>
  <si>
    <t>DR-5</t>
  </si>
  <si>
    <t>Network Isolation Automation</t>
  </si>
  <si>
    <t>Automated network isolation procedures</t>
  </si>
  <si>
    <t>ZT Tenet (Primary)</t>
  </si>
  <si>
    <t>ZTA Component(s)</t>
  </si>
  <si>
    <t>Decision Type (Prevent/Detect/Contain/Recover)</t>
  </si>
  <si>
    <t>Alignment (Direct/Indirect/Not Covered)</t>
  </si>
  <si>
    <t>Applies To (K8s/VM/AWS)</t>
  </si>
  <si>
    <t>Trust Signal Category (IR/VR/RR/ER)</t>
  </si>
  <si>
    <t>Notes / Assumptions</t>
  </si>
  <si>
    <t>Continuous Verification</t>
  </si>
  <si>
    <t>Telemetry → PE</t>
  </si>
  <si>
    <t>Detect</t>
  </si>
  <si>
    <t>Indirect</t>
  </si>
  <si>
    <t>K8s</t>
  </si>
  <si>
    <t>VR</t>
  </si>
  <si>
    <t>Image scan results inform deploy/runtime risk scoring; enforcement via gating or admission required.</t>
  </si>
  <si>
    <t>Least Privilege</t>
  </si>
  <si>
    <t>Telemetry → PA</t>
  </si>
  <si>
    <t>Prevent</t>
  </si>
  <si>
    <t>AWS,K8s</t>
  </si>
  <si>
    <t>IaC policy results can drive remediation PRs or pipeline gates; not enforcement without automation.</t>
  </si>
  <si>
    <t>PEP (K8s Admission)</t>
  </si>
  <si>
    <t>Direct</t>
  </si>
  <si>
    <t>IR</t>
  </si>
  <si>
    <t>Treat provenance/signature as trust prerequisite for deployment.</t>
  </si>
  <si>
    <t>Assume Breach</t>
  </si>
  <si>
    <t>Secret findings should trigger revocation/rotation to become enforcement.</t>
  </si>
  <si>
    <t>K8s,VM</t>
  </si>
  <si>
    <t>SBOM provides dependency visibility; enforcement requires policy gates (e.g., banned packages).</t>
  </si>
  <si>
    <t>RBAC drift is posture signal; enforcement via PA updating RBAC/admission required.</t>
  </si>
  <si>
    <t>AWS</t>
  </si>
  <si>
    <t>Effective permissions/entitlement graph informs trust decisions; remediation separate.</t>
  </si>
  <si>
    <t>Contain</t>
  </si>
  <si>
    <t>ER</t>
  </si>
  <si>
    <t>SG drift indicates exposure; enforcement requires automated rollback or guardrails.</t>
  </si>
  <si>
    <t>Benchmark compliance is posture telemetry; enforcement via hardening/PA automation.</t>
  </si>
  <si>
    <t>Public exposure findings must drive SG/Ingress restriction actions to be direct.</t>
  </si>
  <si>
    <t>Excess privilege detection informs PE; direct alignment if paired with automated least-privilege reduction.</t>
  </si>
  <si>
    <t>Cross-account trust expands blast radius; informs PE and compensating controls.</t>
  </si>
  <si>
    <t>Role assumption events can drive step-up or session revocation decisions.</t>
  </si>
  <si>
    <t>PEP (Service AuthN/Z)</t>
  </si>
  <si>
    <t>Workload identity enforced via mTLS/identity-aware policies (mesh/proxy).</t>
  </si>
  <si>
    <t>PA → PEP (Credential Revocation)</t>
  </si>
  <si>
    <t>AWS,VM</t>
  </si>
  <si>
    <t>Revocation is direct enforcement; triggers should be defined by trust algorithm.</t>
  </si>
  <si>
    <t>RR</t>
  </si>
  <si>
    <t>Behavior alerts inform PE; direct only if agent blocks/isolates automatically.</t>
  </si>
  <si>
    <t>Syscall telemetry informs policy decisions; direct if used for block rules.</t>
  </si>
  <si>
    <t>Privilege escalation detection should trigger containment actions to be direct.</t>
  </si>
  <si>
    <t>PA → PEP (Isolation/Quarantine)</t>
  </si>
  <si>
    <t>Isolation is direct enforcement; mapped to namespace quarantine/host isolation.</t>
  </si>
  <si>
    <t>Network anomaly telemetry feeds PE; enforcement via network PEP updates.</t>
  </si>
  <si>
    <t>PEP (Network Policy)</t>
  </si>
  <si>
    <t>Direct microsegmentation enforcement for east-west traffic.</t>
  </si>
  <si>
    <t>PEP (Host Firewall)</t>
  </si>
  <si>
    <t>VM</t>
  </si>
  <si>
    <t>Direct enforcement on VM traffic; complements K8s policies.</t>
  </si>
  <si>
    <t>PEP (Security Groups)</t>
  </si>
  <si>
    <t>Direct enforcement on AWS network plane; can be driven by PA automation.</t>
  </si>
  <si>
    <t>PEP (mTLS/AuthZ)</t>
  </si>
  <si>
    <t>Service-to-service identity and authz enforcement; key ZT control.</t>
  </si>
  <si>
    <t>PEP (Egress Control)</t>
  </si>
  <si>
    <t>K8s,VM,AWS</t>
  </si>
  <si>
    <t>Restrict outbound to reduce exfiltration and C2; driven by PE thresholds.</t>
  </si>
  <si>
    <t>PEP (Storage Policy)</t>
  </si>
  <si>
    <t>Enforce encryption at rest via cloud controls; limited context sensitivity.</t>
  </si>
  <si>
    <t>PEP (mTLS/TLS Policy)</t>
  </si>
  <si>
    <t>Encryption in transit enforced via mesh/proxy/ingress policy.</t>
  </si>
  <si>
    <t>Data access logs feed trust decisions; enforcement requires access mediation.</t>
  </si>
  <si>
    <t>PA (Rotation Orchestration)</t>
  </si>
  <si>
    <t>Recover</t>
  </si>
  <si>
    <t>Rotation is response action; direct when auto-triggered from PE decisions.</t>
  </si>
  <si>
    <t>Exposure detection informs enforcement; 'Not Covered' if no mediation exists.</t>
  </si>
  <si>
    <t>PE Input (Correlation)</t>
  </si>
  <si>
    <t>All</t>
  </si>
  <si>
    <t>Correlation improves signal quality but is not enforcement by itself.</t>
  </si>
  <si>
    <t>PA → PEP (Quarantine)</t>
  </si>
  <si>
    <t>Automated quarantine is direct enforcement if integrated with PEPs.</t>
  </si>
  <si>
    <t>PA → PEP (IAM Revocation)</t>
  </si>
  <si>
    <t>Revoking roles/sessions is direct; needs defined trigger thresholds.</t>
  </si>
  <si>
    <t>PA (Rotation Trigger)</t>
  </si>
  <si>
    <t>Trigger-only unless connected to actual rotation workflow.</t>
  </si>
  <si>
    <t>PA → PEP (Network Isolation)</t>
  </si>
  <si>
    <t>Automated isolation via NetworkPolicy/host firewall/SG lockdown.</t>
  </si>
  <si>
    <t>Total Capabilities</t>
  </si>
  <si>
    <t>Direct Count</t>
  </si>
  <si>
    <t>Indirect Count</t>
  </si>
  <si>
    <t>Not Covered Count</t>
  </si>
  <si>
    <t>Direct (%)</t>
  </si>
  <si>
    <t>Indirect (%)</t>
  </si>
  <si>
    <t>Not Covered (%)</t>
  </si>
  <si>
    <t>ELR (Direct/(Direct+Indirect))</t>
  </si>
  <si>
    <t>ELR_cov (Direct/Total)</t>
  </si>
  <si>
    <t>PE Count</t>
  </si>
  <si>
    <t>PA Count</t>
  </si>
  <si>
    <t>PEP Count</t>
  </si>
  <si>
    <t>Telemetry Count</t>
  </si>
  <si>
    <t>PE (%)</t>
  </si>
  <si>
    <t>PA (%)</t>
  </si>
  <si>
    <t>PEP (%)</t>
  </si>
  <si>
    <t>Telemetry (%)</t>
  </si>
  <si>
    <t>Decision to PEP Actions Mapping (Structured)</t>
  </si>
  <si>
    <t>Decision</t>
  </si>
  <si>
    <t>K8s Admission Action</t>
  </si>
  <si>
    <t>K8s NetworkPolicy Action</t>
  </si>
  <si>
    <t>K8s Runtime Action</t>
  </si>
  <si>
    <t>VM Host Firewall Action</t>
  </si>
  <si>
    <t>VM Runtime/EDR Action</t>
  </si>
  <si>
    <t>AWS IAM Action</t>
  </si>
  <si>
    <t>AWS Network (SG/NACL) Action</t>
  </si>
  <si>
    <t>PA Orchestration Trigger</t>
  </si>
  <si>
    <t>PE Decision Rationale Tag</t>
  </si>
  <si>
    <t>Notes</t>
  </si>
  <si>
    <t>ALLOW</t>
  </si>
  <si>
    <t>No change</t>
  </si>
  <si>
    <t>Monitor</t>
  </si>
  <si>
    <t>None</t>
  </si>
  <si>
    <t>TS below allow threshold</t>
  </si>
  <si>
    <t>RESTRICT</t>
  </si>
  <si>
    <t>Tighten admission policy (optional)</t>
  </si>
  <si>
    <t>Apply egress restriction profile</t>
  </si>
  <si>
    <t>Increase alert sensitivity</t>
  </si>
  <si>
    <t>Restrict outbound to approved destinations</t>
  </si>
  <si>
    <t>Enable blocklist rules (if available)</t>
  </si>
  <si>
    <t>Apply session constraints / reduce permissions (policy boundary)</t>
  </si>
  <si>
    <t>Tighten SG egress; remove wide ingress</t>
  </si>
  <si>
    <t>Trigger: Restrict playbook</t>
  </si>
  <si>
    <t>TS in restrict range</t>
  </si>
  <si>
    <t>QUARANTINE</t>
  </si>
  <si>
    <t>Block new deploys for workload/namespace</t>
  </si>
  <si>
    <t>Quarantine namespace/pod; deny east-west except IR tools</t>
  </si>
  <si>
    <t>Suspend/evict pod or isolate node (if supported)</t>
  </si>
  <si>
    <t>Isolate host: block all except IR VLAN/collector</t>
  </si>
  <si>
    <t>Kill suspicious process; contain host</t>
  </si>
  <si>
    <t>Revoke STS sessions for related role; disable access keys</t>
  </si>
  <si>
    <t>Lockdown SG to IR endpoints only</t>
  </si>
  <si>
    <t>Trigger: Quarantine playbook</t>
  </si>
  <si>
    <t>TS in quarantine range</t>
  </si>
  <si>
    <t>ISOLATE</t>
  </si>
  <si>
    <t>Deny deploy; freeze namespace changes</t>
  </si>
  <si>
    <t>Full isolate: default deny (except IR)</t>
  </si>
  <si>
    <t>Evict + cordon; snapshot if applicable</t>
  </si>
  <si>
    <t>Full host isolation (drop all)</t>
  </si>
  <si>
    <t>Containment mode + evidence capture</t>
  </si>
  <si>
    <t>Revoke role, rotate secrets, require re-auth</t>
  </si>
  <si>
    <t>SG/NACL deny all; move to quarantine subnet</t>
  </si>
  <si>
    <t>Trigger: Isolate playbook</t>
  </si>
  <si>
    <t>TS in isolate range</t>
  </si>
  <si>
    <t>DENY (Gate Triggered)</t>
  </si>
  <si>
    <t>Deny admission (hard gate)</t>
  </si>
  <si>
    <t>Apply emergency deny profile (optional)</t>
  </si>
  <si>
    <t>N/A</t>
  </si>
  <si>
    <t>Revoke if credential-related gate</t>
  </si>
  <si>
    <t>Lockdown if exposure-related gate</t>
  </si>
  <si>
    <t>Trigger: Gate remediation workflow</t>
  </si>
  <si>
    <t>Hard gate violation</t>
  </si>
  <si>
    <t>Trust Decision Simulator (IR/VR/RR/ER → Trust Score → Action)</t>
  </si>
  <si>
    <t>Trust Algorithm Operational How-To Guide</t>
  </si>
  <si>
    <t>Inputs (0.0 to 1.0)</t>
  </si>
  <si>
    <t>Weights (sum to 1.0)</t>
  </si>
  <si>
    <t>1. Purpose</t>
  </si>
  <si>
    <t>Identity Risk (IR)</t>
  </si>
  <si>
    <t>α (IR weight)</t>
  </si>
  <si>
    <t>Weight Sum</t>
  </si>
  <si>
    <t>Continuously evaluate workload and identity risk across Kubernetes, VMs, and AWS to determine whether to Allow, Restrict, Quarantine, or Isolate access.</t>
  </si>
  <si>
    <t>Vuln/Posture Risk (VR)</t>
  </si>
  <si>
    <t>β (VR weight)</t>
  </si>
  <si>
    <t>Runtime Risk (RR)</t>
  </si>
  <si>
    <t>γ (RR weight)</t>
  </si>
  <si>
    <t>2. Risk Inputs (0.0–1.0)</t>
  </si>
  <si>
    <t>Exposure Risk (ER)</t>
  </si>
  <si>
    <t>δ (ER weight)</t>
  </si>
  <si>
    <t>IR – Identity Risk
VR – Vulnerability/Posture Risk
RR – Runtime Risk
ER – Exposure Risk
BR – Blast Radius</t>
  </si>
  <si>
    <t>Blast Radius (BR)</t>
  </si>
  <si>
    <t>λ (BR multiplier)</t>
  </si>
  <si>
    <t>3. Trust Score</t>
  </si>
  <si>
    <t>Gating Rules (1=True, 0=False)</t>
  </si>
  <si>
    <t>Gating Result</t>
  </si>
  <si>
    <t>TS = (IR*α) + (VR*β) + (RR*γ) + (ER*δ)
TS' = TS * (1 + λ*BR)</t>
  </si>
  <si>
    <t>G1 Unsigned Image</t>
  </si>
  <si>
    <t>Any Gate?</t>
  </si>
  <si>
    <t>G2 Privileged Workload</t>
  </si>
  <si>
    <t>4. Gating Rules</t>
  </si>
  <si>
    <t>G3 Workload Identity Missing</t>
  </si>
  <si>
    <t>Trust Score (TS)</t>
  </si>
  <si>
    <t>Thresholds</t>
  </si>
  <si>
    <t>Immediate DENY if unsigned image, privileged workload, missing identity, or public exposure + critical vulnerability.</t>
  </si>
  <si>
    <t>G4 Public + Critical Vuln</t>
  </si>
  <si>
    <t>TS (base)</t>
  </si>
  <si>
    <t>Allow &lt;</t>
  </si>
  <si>
    <t>TS' (BR adjusted)</t>
  </si>
  <si>
    <t>Restrict &lt;</t>
  </si>
  <si>
    <t>5. Decision Thresholds</t>
  </si>
  <si>
    <t>Suggested Enforcement Actions (by domain)</t>
  </si>
  <si>
    <t>Quarantine &lt;</t>
  </si>
  <si>
    <t>TS' &lt; 0.25 → ALLOW
TS' &lt; 0.50 → RESTRICT
TS' &lt; 0.75 → QUARANTINE
TS' ≥ 0.75 → ISOLATE</t>
  </si>
  <si>
    <t>No change; continue monitoring</t>
  </si>
  <si>
    <t>Isolate ≥</t>
  </si>
  <si>
    <t>K8s: tighten egress; VM: host firewall restrict; AWS: tighten Security Groups / session constraints</t>
  </si>
  <si>
    <t>6. Enforcement Mapping</t>
  </si>
  <si>
    <t>K8s: quarantine namespace/pod; VM: isolate host/VLAN; AWS: revoke session + SG lockdown</t>
  </si>
  <si>
    <t>RESTRICT: Tighten network/firewall
QUARANTINE: Isolate workload
ISOLATE: Full isolation + credential revoke</t>
  </si>
  <si>
    <t>Full isolation + credential revocation + incident workflow (rotate secrets, snapshot, forensics)</t>
  </si>
  <si>
    <t>7. Operational Flow</t>
  </si>
  <si>
    <t>Telemetry → Score → Gate Check → Action → Enforcement → Audit Log</t>
  </si>
  <si>
    <t>Case ID</t>
  </si>
  <si>
    <t>Scenario Name</t>
  </si>
  <si>
    <t>Workload Type (K8s/VM/AWS)</t>
  </si>
  <si>
    <t>BR</t>
  </si>
  <si>
    <t>α</t>
  </si>
  <si>
    <t>β</t>
  </si>
  <si>
    <t>γ</t>
  </si>
  <si>
    <t>δ</t>
  </si>
  <si>
    <t>λ</t>
  </si>
  <si>
    <t>G3 Identity Missing</t>
  </si>
  <si>
    <t>G4 Public+Critical Vuln</t>
  </si>
  <si>
    <t>VM Firewall Action</t>
  </si>
  <si>
    <t>AWS Network Action</t>
  </si>
  <si>
    <t>C-001</t>
  </si>
  <si>
    <t>Unsigned image deploy attempt</t>
  </si>
  <si>
    <t>C-002</t>
  </si>
  <si>
    <t>Over-privileged IAM role detected</t>
  </si>
  <si>
    <t>C-003</t>
  </si>
  <si>
    <t>VM lateral movement attempt</t>
  </si>
  <si>
    <t>C-004</t>
  </si>
  <si>
    <t>Public service + critical vuln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</si>
</sst>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scheme val="minor"/>
    </font>
    <font>
      <sz val="11"/>
      <color theme="1"/>
      <name val="Calibri"/>
    </font>
    <font>
      <sz val="11"/>
      <color rgb="FFFFFFFF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name val="Calibri"/>
    </font>
    <font>
      <sz val="11"/>
      <color rgb="FF548DD4"/>
      <name val="Calibri"/>
    </font>
    <font>
      <b/>
      <sz val="14"/>
      <color theme="0"/>
      <name val="Calibri"/>
    </font>
    <font>
      <b/>
      <sz val="12"/>
      <color rgb="FFFFFFFF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F497D"/>
        <bgColor rgb="FF1F497D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9" fontId="1" fillId="0" borderId="0" xfId="0" applyNumberFormat="1" applyFont="1"/>
    <xf numFmtId="0" fontId="4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7" fillId="3" borderId="1" xfId="0" applyFont="1" applyFill="1" applyBorder="1"/>
    <xf numFmtId="0" fontId="8" fillId="0" borderId="0" xfId="0" applyFont="1" applyAlignment="1">
      <alignment vertical="top" wrapText="1"/>
    </xf>
    <xf numFmtId="0" fontId="1" fillId="3" borderId="1" xfId="0" applyFont="1" applyFill="1" applyBorder="1"/>
    <xf numFmtId="0" fontId="1" fillId="3" borderId="1" xfId="0" applyFont="1" applyFill="1" applyBorder="1"/>
    <xf numFmtId="0" fontId="10" fillId="0" borderId="0" xfId="0" applyFont="1" applyAlignment="1">
      <alignment vertical="top" wrapText="1"/>
    </xf>
    <xf numFmtId="0" fontId="11" fillId="0" borderId="5" xfId="0" applyFont="1" applyBorder="1"/>
    <xf numFmtId="2" fontId="1" fillId="0" borderId="5" xfId="0" applyNumberFormat="1" applyFont="1" applyBorder="1" applyAlignment="1">
      <alignment horizontal="center"/>
    </xf>
    <xf numFmtId="2" fontId="1" fillId="0" borderId="5" xfId="0" applyNumberFormat="1" applyFont="1" applyBorder="1"/>
    <xf numFmtId="0" fontId="1" fillId="0" borderId="0" xfId="0" applyFont="1" applyAlignment="1">
      <alignment vertical="top" wrapText="1"/>
    </xf>
    <xf numFmtId="1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/>
    <xf numFmtId="0" fontId="9" fillId="2" borderId="1" xfId="0" applyFont="1" applyFill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10" fillId="0" borderId="5" xfId="0" applyFont="1" applyBorder="1"/>
    <xf numFmtId="0" fontId="12" fillId="0" borderId="5" xfId="0" applyFont="1" applyBorder="1"/>
    <xf numFmtId="2" fontId="1" fillId="0" borderId="5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5" fillId="2" borderId="2" xfId="0" applyFont="1" applyFill="1" applyBorder="1" applyAlignment="1">
      <alignment vertical="center"/>
    </xf>
    <xf numFmtId="0" fontId="6" fillId="0" borderId="3" xfId="0" applyFont="1" applyBorder="1"/>
    <xf numFmtId="0" fontId="6" fillId="0" borderId="4" xfId="0" applyFont="1" applyBorder="1"/>
    <xf numFmtId="0" fontId="9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CNAPP_ZTA_Mapping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Trust_Decision_Simulator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36">
  <tableColumns count="11">
    <tableColumn id="1" xr3:uid="{00000000-0010-0000-0000-000001000000}" name="Domain"/>
    <tableColumn id="2" xr3:uid="{00000000-0010-0000-0000-000002000000}" name="Domain Name"/>
    <tableColumn id="3" xr3:uid="{00000000-0010-0000-0000-000003000000}" name="Capability ID"/>
    <tableColumn id="4" xr3:uid="{00000000-0010-0000-0000-000004000000}" name="Capability Name"/>
    <tableColumn id="5" xr3:uid="{00000000-0010-0000-0000-000005000000}" name="ZT Tenet (Primary)"/>
    <tableColumn id="6" xr3:uid="{00000000-0010-0000-0000-000006000000}" name="ZTA Component(s)"/>
    <tableColumn id="7" xr3:uid="{00000000-0010-0000-0000-000007000000}" name="Decision Type (Prevent/Detect/Contain/Recover)"/>
    <tableColumn id="8" xr3:uid="{00000000-0010-0000-0000-000008000000}" name="Alignment (Direct/Indirect/Not Covered)"/>
    <tableColumn id="9" xr3:uid="{00000000-0010-0000-0000-000009000000}" name="Applies To (K8s/VM/AWS)"/>
    <tableColumn id="10" xr3:uid="{00000000-0010-0000-0000-00000A000000}" name="Trust Signal Category (IR/VR/RR/ER)"/>
    <tableColumn id="11" xr3:uid="{00000000-0010-0000-0000-00000B000000}" name="Notes / Assumptions"/>
  </tableColumns>
  <tableStyleInfo name="CNAPP_ZTA_Mappi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J1:J22">
  <tableColumns count="1">
    <tableColumn id="1" xr3:uid="{00000000-0010-0000-0100-000001000000}" name="Trust Algorithm Operational How-To Guide"/>
  </tableColumns>
  <tableStyleInfo name="Trust_Decision_Simulato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40" sqref="B40"/>
    </sheetView>
  </sheetViews>
  <sheetFormatPr defaultColWidth="14.44140625" defaultRowHeight="15" customHeight="1"/>
  <cols>
    <col min="1" max="1" width="14.33203125" customWidth="1"/>
    <col min="2" max="2" width="31.33203125" customWidth="1"/>
    <col min="3" max="3" width="18.88671875" customWidth="1"/>
    <col min="4" max="4" width="45.109375" customWidth="1"/>
    <col min="5" max="5" width="53.5546875" customWidth="1"/>
    <col min="6" max="26" width="8.66406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5</v>
      </c>
      <c r="B2" s="1" t="s">
        <v>6</v>
      </c>
      <c r="C2" s="1" t="s">
        <v>7</v>
      </c>
      <c r="D2" s="2" t="s">
        <v>8</v>
      </c>
      <c r="E2" s="2" t="s">
        <v>9</v>
      </c>
    </row>
    <row r="3" spans="1:5" ht="14.25" customHeight="1">
      <c r="A3" s="1" t="s">
        <v>5</v>
      </c>
      <c r="B3" s="1" t="s">
        <v>6</v>
      </c>
      <c r="C3" s="1" t="s">
        <v>10</v>
      </c>
      <c r="D3" s="2" t="s">
        <v>11</v>
      </c>
      <c r="E3" s="2" t="s">
        <v>12</v>
      </c>
    </row>
    <row r="4" spans="1:5" ht="14.25" customHeight="1">
      <c r="A4" s="1" t="s">
        <v>5</v>
      </c>
      <c r="B4" s="1" t="s">
        <v>6</v>
      </c>
      <c r="C4" s="1" t="s">
        <v>13</v>
      </c>
      <c r="D4" s="2" t="s">
        <v>14</v>
      </c>
      <c r="E4" s="2" t="s">
        <v>15</v>
      </c>
    </row>
    <row r="5" spans="1:5" ht="14.25" customHeight="1">
      <c r="A5" s="1" t="s">
        <v>5</v>
      </c>
      <c r="B5" s="1" t="s">
        <v>6</v>
      </c>
      <c r="C5" s="1" t="s">
        <v>16</v>
      </c>
      <c r="D5" s="2" t="s">
        <v>17</v>
      </c>
      <c r="E5" s="2" t="s">
        <v>18</v>
      </c>
    </row>
    <row r="6" spans="1:5" ht="14.25" customHeight="1">
      <c r="A6" s="1" t="s">
        <v>5</v>
      </c>
      <c r="B6" s="1" t="s">
        <v>6</v>
      </c>
      <c r="C6" s="1" t="s">
        <v>19</v>
      </c>
      <c r="D6" s="2" t="s">
        <v>20</v>
      </c>
      <c r="E6" s="2" t="s">
        <v>21</v>
      </c>
    </row>
    <row r="7" spans="1:5" ht="14.25" customHeight="1">
      <c r="A7" s="1" t="s">
        <v>22</v>
      </c>
      <c r="B7" s="1" t="s">
        <v>23</v>
      </c>
      <c r="C7" s="1" t="s">
        <v>24</v>
      </c>
      <c r="D7" s="2" t="s">
        <v>25</v>
      </c>
      <c r="E7" s="2" t="s">
        <v>26</v>
      </c>
    </row>
    <row r="8" spans="1:5" ht="14.25" customHeight="1">
      <c r="A8" s="1" t="s">
        <v>22</v>
      </c>
      <c r="B8" s="1" t="s">
        <v>23</v>
      </c>
      <c r="C8" s="1" t="s">
        <v>27</v>
      </c>
      <c r="D8" s="2" t="s">
        <v>28</v>
      </c>
      <c r="E8" s="2" t="s">
        <v>29</v>
      </c>
    </row>
    <row r="9" spans="1:5" ht="14.25" customHeight="1">
      <c r="A9" s="1" t="s">
        <v>22</v>
      </c>
      <c r="B9" s="1" t="s">
        <v>23</v>
      </c>
      <c r="C9" s="1" t="s">
        <v>30</v>
      </c>
      <c r="D9" s="2" t="s">
        <v>31</v>
      </c>
      <c r="E9" s="2" t="s">
        <v>32</v>
      </c>
    </row>
    <row r="10" spans="1:5" ht="14.25" customHeight="1">
      <c r="A10" s="1" t="s">
        <v>22</v>
      </c>
      <c r="B10" s="1" t="s">
        <v>23</v>
      </c>
      <c r="C10" s="1" t="s">
        <v>33</v>
      </c>
      <c r="D10" s="2" t="s">
        <v>34</v>
      </c>
      <c r="E10" s="2" t="s">
        <v>35</v>
      </c>
    </row>
    <row r="11" spans="1:5" ht="14.25" customHeight="1">
      <c r="A11" s="1" t="s">
        <v>22</v>
      </c>
      <c r="B11" s="1" t="s">
        <v>23</v>
      </c>
      <c r="C11" s="1" t="s">
        <v>36</v>
      </c>
      <c r="D11" s="2" t="s">
        <v>37</v>
      </c>
      <c r="E11" s="2" t="s">
        <v>38</v>
      </c>
    </row>
    <row r="12" spans="1:5" ht="14.25" customHeight="1">
      <c r="A12" s="1" t="s">
        <v>39</v>
      </c>
      <c r="B12" s="1" t="s">
        <v>40</v>
      </c>
      <c r="C12" s="1" t="s">
        <v>41</v>
      </c>
      <c r="D12" s="2" t="s">
        <v>42</v>
      </c>
      <c r="E12" s="2" t="s">
        <v>43</v>
      </c>
    </row>
    <row r="13" spans="1:5" ht="14.25" customHeight="1">
      <c r="A13" s="1" t="s">
        <v>39</v>
      </c>
      <c r="B13" s="1" t="s">
        <v>40</v>
      </c>
      <c r="C13" s="1" t="s">
        <v>44</v>
      </c>
      <c r="D13" s="2" t="s">
        <v>45</v>
      </c>
      <c r="E13" s="2" t="s">
        <v>46</v>
      </c>
    </row>
    <row r="14" spans="1:5" ht="14.25" customHeight="1">
      <c r="A14" s="1" t="s">
        <v>39</v>
      </c>
      <c r="B14" s="1" t="s">
        <v>40</v>
      </c>
      <c r="C14" s="1" t="s">
        <v>47</v>
      </c>
      <c r="D14" s="2" t="s">
        <v>48</v>
      </c>
      <c r="E14" s="2" t="s">
        <v>49</v>
      </c>
    </row>
    <row r="15" spans="1:5" ht="14.25" customHeight="1">
      <c r="A15" s="1" t="s">
        <v>39</v>
      </c>
      <c r="B15" s="1" t="s">
        <v>40</v>
      </c>
      <c r="C15" s="1" t="s">
        <v>50</v>
      </c>
      <c r="D15" s="2" t="s">
        <v>51</v>
      </c>
      <c r="E15" s="2" t="s">
        <v>52</v>
      </c>
    </row>
    <row r="16" spans="1:5" ht="14.25" customHeight="1">
      <c r="A16" s="1" t="s">
        <v>39</v>
      </c>
      <c r="B16" s="1" t="s">
        <v>40</v>
      </c>
      <c r="C16" s="1" t="s">
        <v>53</v>
      </c>
      <c r="D16" s="2" t="s">
        <v>54</v>
      </c>
      <c r="E16" s="2" t="s">
        <v>55</v>
      </c>
    </row>
    <row r="17" spans="1:5" ht="14.25" customHeight="1">
      <c r="A17" s="1" t="s">
        <v>56</v>
      </c>
      <c r="B17" s="1" t="s">
        <v>57</v>
      </c>
      <c r="C17" s="1" t="s">
        <v>58</v>
      </c>
      <c r="D17" s="2" t="s">
        <v>59</v>
      </c>
      <c r="E17" s="2" t="s">
        <v>60</v>
      </c>
    </row>
    <row r="18" spans="1:5" ht="14.25" customHeight="1">
      <c r="A18" s="1" t="s">
        <v>56</v>
      </c>
      <c r="B18" s="1" t="s">
        <v>57</v>
      </c>
      <c r="C18" s="1" t="s">
        <v>61</v>
      </c>
      <c r="D18" s="2" t="s">
        <v>62</v>
      </c>
      <c r="E18" s="2" t="s">
        <v>63</v>
      </c>
    </row>
    <row r="19" spans="1:5" ht="14.25" customHeight="1">
      <c r="A19" s="1" t="s">
        <v>56</v>
      </c>
      <c r="B19" s="1" t="s">
        <v>57</v>
      </c>
      <c r="C19" s="1" t="s">
        <v>64</v>
      </c>
      <c r="D19" s="2" t="s">
        <v>65</v>
      </c>
      <c r="E19" s="2" t="s">
        <v>66</v>
      </c>
    </row>
    <row r="20" spans="1:5" ht="14.25" customHeight="1">
      <c r="A20" s="1" t="s">
        <v>56</v>
      </c>
      <c r="B20" s="1" t="s">
        <v>57</v>
      </c>
      <c r="C20" s="1" t="s">
        <v>67</v>
      </c>
      <c r="D20" s="2" t="s">
        <v>68</v>
      </c>
      <c r="E20" s="2" t="s">
        <v>69</v>
      </c>
    </row>
    <row r="21" spans="1:5" ht="14.25" customHeight="1">
      <c r="A21" s="1" t="s">
        <v>56</v>
      </c>
      <c r="B21" s="1" t="s">
        <v>57</v>
      </c>
      <c r="C21" s="1" t="s">
        <v>70</v>
      </c>
      <c r="D21" s="2" t="s">
        <v>71</v>
      </c>
      <c r="E21" s="2" t="s">
        <v>72</v>
      </c>
    </row>
    <row r="22" spans="1:5" ht="14.25" customHeight="1">
      <c r="A22" s="1" t="s">
        <v>73</v>
      </c>
      <c r="B22" s="1" t="s">
        <v>74</v>
      </c>
      <c r="C22" s="1" t="s">
        <v>75</v>
      </c>
      <c r="D22" s="2" t="s">
        <v>76</v>
      </c>
      <c r="E22" s="2" t="s">
        <v>77</v>
      </c>
    </row>
    <row r="23" spans="1:5" ht="14.25" customHeight="1">
      <c r="A23" s="1" t="s">
        <v>73</v>
      </c>
      <c r="B23" s="1" t="s">
        <v>74</v>
      </c>
      <c r="C23" s="1" t="s">
        <v>78</v>
      </c>
      <c r="D23" s="2" t="s">
        <v>79</v>
      </c>
      <c r="E23" s="2" t="s">
        <v>80</v>
      </c>
    </row>
    <row r="24" spans="1:5" ht="14.25" customHeight="1">
      <c r="A24" s="1" t="s">
        <v>73</v>
      </c>
      <c r="B24" s="1" t="s">
        <v>74</v>
      </c>
      <c r="C24" s="1" t="s">
        <v>81</v>
      </c>
      <c r="D24" s="2" t="s">
        <v>82</v>
      </c>
      <c r="E24" s="2" t="s">
        <v>83</v>
      </c>
    </row>
    <row r="25" spans="1:5" ht="14.25" customHeight="1">
      <c r="A25" s="1" t="s">
        <v>73</v>
      </c>
      <c r="B25" s="1" t="s">
        <v>74</v>
      </c>
      <c r="C25" s="1" t="s">
        <v>84</v>
      </c>
      <c r="D25" s="2" t="s">
        <v>85</v>
      </c>
      <c r="E25" s="2" t="s">
        <v>86</v>
      </c>
    </row>
    <row r="26" spans="1:5" ht="14.25" customHeight="1">
      <c r="A26" s="1" t="s">
        <v>73</v>
      </c>
      <c r="B26" s="1" t="s">
        <v>74</v>
      </c>
      <c r="C26" s="1" t="s">
        <v>87</v>
      </c>
      <c r="D26" s="2" t="s">
        <v>88</v>
      </c>
      <c r="E26" s="2" t="s">
        <v>89</v>
      </c>
    </row>
    <row r="27" spans="1:5" ht="14.25" customHeight="1">
      <c r="A27" s="1" t="s">
        <v>90</v>
      </c>
      <c r="B27" s="1" t="s">
        <v>91</v>
      </c>
      <c r="C27" s="1" t="s">
        <v>92</v>
      </c>
      <c r="D27" s="2" t="s">
        <v>93</v>
      </c>
      <c r="E27" s="2" t="s">
        <v>94</v>
      </c>
    </row>
    <row r="28" spans="1:5" ht="14.25" customHeight="1">
      <c r="A28" s="1" t="s">
        <v>90</v>
      </c>
      <c r="B28" s="1" t="s">
        <v>91</v>
      </c>
      <c r="C28" s="1" t="s">
        <v>95</v>
      </c>
      <c r="D28" s="2" t="s">
        <v>96</v>
      </c>
      <c r="E28" s="2" t="s">
        <v>97</v>
      </c>
    </row>
    <row r="29" spans="1:5" ht="14.25" customHeight="1">
      <c r="A29" s="1" t="s">
        <v>90</v>
      </c>
      <c r="B29" s="1" t="s">
        <v>91</v>
      </c>
      <c r="C29" s="1" t="s">
        <v>98</v>
      </c>
      <c r="D29" s="2" t="s">
        <v>99</v>
      </c>
      <c r="E29" s="2" t="s">
        <v>100</v>
      </c>
    </row>
    <row r="30" spans="1:5" ht="14.25" customHeight="1">
      <c r="A30" s="1" t="s">
        <v>90</v>
      </c>
      <c r="B30" s="1" t="s">
        <v>91</v>
      </c>
      <c r="C30" s="1" t="s">
        <v>101</v>
      </c>
      <c r="D30" s="2" t="s">
        <v>102</v>
      </c>
      <c r="E30" s="2" t="s">
        <v>103</v>
      </c>
    </row>
    <row r="31" spans="1:5" ht="14.25" customHeight="1">
      <c r="A31" s="1" t="s">
        <v>90</v>
      </c>
      <c r="B31" s="1" t="s">
        <v>91</v>
      </c>
      <c r="C31" s="1" t="s">
        <v>104</v>
      </c>
      <c r="D31" s="2" t="s">
        <v>105</v>
      </c>
      <c r="E31" s="2" t="s">
        <v>106</v>
      </c>
    </row>
    <row r="32" spans="1:5" ht="14.25" customHeight="1">
      <c r="A32" s="1" t="s">
        <v>107</v>
      </c>
      <c r="B32" s="1" t="s">
        <v>108</v>
      </c>
      <c r="C32" s="1" t="s">
        <v>109</v>
      </c>
      <c r="D32" s="2" t="s">
        <v>110</v>
      </c>
      <c r="E32" s="2" t="s">
        <v>111</v>
      </c>
    </row>
    <row r="33" spans="1:5" ht="14.25" customHeight="1">
      <c r="A33" s="1" t="s">
        <v>107</v>
      </c>
      <c r="B33" s="1" t="s">
        <v>108</v>
      </c>
      <c r="C33" s="1" t="s">
        <v>112</v>
      </c>
      <c r="D33" s="2" t="s">
        <v>113</v>
      </c>
      <c r="E33" s="2" t="s">
        <v>114</v>
      </c>
    </row>
    <row r="34" spans="1:5" ht="14.25" customHeight="1">
      <c r="A34" s="1" t="s">
        <v>107</v>
      </c>
      <c r="B34" s="1" t="s">
        <v>108</v>
      </c>
      <c r="C34" s="1" t="s">
        <v>115</v>
      </c>
      <c r="D34" s="2" t="s">
        <v>116</v>
      </c>
      <c r="E34" s="2" t="s">
        <v>117</v>
      </c>
    </row>
    <row r="35" spans="1:5" ht="14.25" customHeight="1">
      <c r="A35" s="1" t="s">
        <v>107</v>
      </c>
      <c r="B35" s="1" t="s">
        <v>108</v>
      </c>
      <c r="C35" s="1" t="s">
        <v>118</v>
      </c>
      <c r="D35" s="2" t="s">
        <v>119</v>
      </c>
      <c r="E35" s="2" t="s">
        <v>120</v>
      </c>
    </row>
    <row r="36" spans="1:5" ht="14.25" customHeight="1">
      <c r="A36" s="1" t="s">
        <v>107</v>
      </c>
      <c r="B36" s="1" t="s">
        <v>108</v>
      </c>
      <c r="C36" s="1" t="s">
        <v>121</v>
      </c>
      <c r="D36" s="2" t="s">
        <v>122</v>
      </c>
      <c r="E36" s="2" t="s">
        <v>123</v>
      </c>
    </row>
    <row r="37" spans="1:5" ht="14.25" customHeight="1"/>
    <row r="38" spans="1:5" ht="14.25" customHeight="1"/>
    <row r="39" spans="1:5" ht="14.25" customHeight="1"/>
    <row r="40" spans="1:5" ht="14.25" customHeight="1"/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pane ySplit="1" topLeftCell="A2" activePane="bottomLeft" state="frozen"/>
      <selection pane="bottomLeft" activeCell="D39" sqref="D39"/>
    </sheetView>
  </sheetViews>
  <sheetFormatPr defaultColWidth="14.44140625" defaultRowHeight="15" customHeight="1"/>
  <cols>
    <col min="1" max="1" width="12" customWidth="1"/>
    <col min="2" max="2" width="30" customWidth="1"/>
    <col min="3" max="3" width="12" customWidth="1"/>
    <col min="4" max="4" width="34" customWidth="1"/>
    <col min="5" max="5" width="28.109375" customWidth="1"/>
    <col min="6" max="6" width="28" customWidth="1"/>
    <col min="7" max="7" width="47" customWidth="1"/>
    <col min="8" max="8" width="22" customWidth="1"/>
    <col min="9" max="9" width="18" customWidth="1"/>
    <col min="10" max="10" width="24" customWidth="1"/>
    <col min="11" max="11" width="45" customWidth="1"/>
    <col min="12" max="26" width="8.6640625" customWidth="1"/>
  </cols>
  <sheetData>
    <row r="1" spans="1:1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124</v>
      </c>
      <c r="F1" s="3" t="s">
        <v>125</v>
      </c>
      <c r="G1" s="3" t="s">
        <v>126</v>
      </c>
      <c r="H1" s="3" t="s">
        <v>127</v>
      </c>
      <c r="I1" s="3" t="s">
        <v>128</v>
      </c>
      <c r="J1" s="3" t="s">
        <v>129</v>
      </c>
      <c r="K1" s="3" t="s">
        <v>130</v>
      </c>
    </row>
    <row r="2" spans="1:11" ht="14.25" customHeight="1">
      <c r="A2" s="4" t="s">
        <v>5</v>
      </c>
      <c r="B2" s="4" t="s">
        <v>6</v>
      </c>
      <c r="C2" s="4" t="s">
        <v>7</v>
      </c>
      <c r="D2" s="4" t="s">
        <v>8</v>
      </c>
      <c r="E2" s="4" t="s">
        <v>131</v>
      </c>
      <c r="F2" s="4" t="s">
        <v>132</v>
      </c>
      <c r="G2" s="4" t="s">
        <v>133</v>
      </c>
      <c r="H2" s="4" t="s">
        <v>134</v>
      </c>
      <c r="I2" s="4" t="s">
        <v>135</v>
      </c>
      <c r="J2" s="4" t="s">
        <v>136</v>
      </c>
      <c r="K2" s="4" t="s">
        <v>137</v>
      </c>
    </row>
    <row r="3" spans="1:11" ht="14.25" customHeight="1">
      <c r="A3" s="4" t="s">
        <v>5</v>
      </c>
      <c r="B3" s="4" t="s">
        <v>6</v>
      </c>
      <c r="C3" s="4" t="s">
        <v>10</v>
      </c>
      <c r="D3" s="4" t="s">
        <v>11</v>
      </c>
      <c r="E3" s="4" t="s">
        <v>138</v>
      </c>
      <c r="F3" s="4" t="s">
        <v>139</v>
      </c>
      <c r="G3" s="4" t="s">
        <v>140</v>
      </c>
      <c r="H3" s="4" t="s">
        <v>134</v>
      </c>
      <c r="I3" s="4" t="s">
        <v>141</v>
      </c>
      <c r="J3" s="4" t="s">
        <v>136</v>
      </c>
      <c r="K3" s="4" t="s">
        <v>142</v>
      </c>
    </row>
    <row r="4" spans="1:11" ht="14.25" customHeight="1">
      <c r="A4" s="4" t="s">
        <v>5</v>
      </c>
      <c r="B4" s="4" t="s">
        <v>6</v>
      </c>
      <c r="C4" s="4" t="s">
        <v>13</v>
      </c>
      <c r="D4" s="4" t="s">
        <v>14</v>
      </c>
      <c r="E4" s="4" t="s">
        <v>131</v>
      </c>
      <c r="F4" s="4" t="s">
        <v>143</v>
      </c>
      <c r="G4" s="4" t="s">
        <v>140</v>
      </c>
      <c r="H4" s="4" t="s">
        <v>144</v>
      </c>
      <c r="I4" s="4" t="s">
        <v>135</v>
      </c>
      <c r="J4" s="4" t="s">
        <v>145</v>
      </c>
      <c r="K4" s="4" t="s">
        <v>146</v>
      </c>
    </row>
    <row r="5" spans="1:11" ht="14.25" customHeight="1">
      <c r="A5" s="4" t="s">
        <v>5</v>
      </c>
      <c r="B5" s="4" t="s">
        <v>6</v>
      </c>
      <c r="C5" s="4" t="s">
        <v>16</v>
      </c>
      <c r="D5" s="4" t="s">
        <v>17</v>
      </c>
      <c r="E5" s="4" t="s">
        <v>147</v>
      </c>
      <c r="F5" s="4" t="s">
        <v>132</v>
      </c>
      <c r="G5" s="4" t="s">
        <v>133</v>
      </c>
      <c r="H5" s="4" t="s">
        <v>134</v>
      </c>
      <c r="I5" s="4" t="s">
        <v>141</v>
      </c>
      <c r="J5" s="4" t="s">
        <v>145</v>
      </c>
      <c r="K5" s="4" t="s">
        <v>148</v>
      </c>
    </row>
    <row r="6" spans="1:11" ht="14.25" customHeight="1">
      <c r="A6" s="4" t="s">
        <v>5</v>
      </c>
      <c r="B6" s="4" t="s">
        <v>6</v>
      </c>
      <c r="C6" s="4" t="s">
        <v>19</v>
      </c>
      <c r="D6" s="4" t="s">
        <v>20</v>
      </c>
      <c r="E6" s="4" t="s">
        <v>131</v>
      </c>
      <c r="F6" s="4" t="s">
        <v>132</v>
      </c>
      <c r="G6" s="4" t="s">
        <v>133</v>
      </c>
      <c r="H6" s="4" t="s">
        <v>134</v>
      </c>
      <c r="I6" s="4" t="s">
        <v>149</v>
      </c>
      <c r="J6" s="4" t="s">
        <v>136</v>
      </c>
      <c r="K6" s="4" t="s">
        <v>150</v>
      </c>
    </row>
    <row r="7" spans="1:11" ht="14.25" customHeight="1">
      <c r="A7" s="4" t="s">
        <v>22</v>
      </c>
      <c r="B7" s="4" t="s">
        <v>23</v>
      </c>
      <c r="C7" s="4" t="s">
        <v>24</v>
      </c>
      <c r="D7" s="4" t="s">
        <v>25</v>
      </c>
      <c r="E7" s="4" t="s">
        <v>138</v>
      </c>
      <c r="F7" s="4" t="s">
        <v>132</v>
      </c>
      <c r="G7" s="4" t="s">
        <v>133</v>
      </c>
      <c r="H7" s="4" t="s">
        <v>134</v>
      </c>
      <c r="I7" s="4" t="s">
        <v>135</v>
      </c>
      <c r="J7" s="4" t="s">
        <v>136</v>
      </c>
      <c r="K7" s="4" t="s">
        <v>151</v>
      </c>
    </row>
    <row r="8" spans="1:11" ht="14.25" customHeight="1">
      <c r="A8" s="4" t="s">
        <v>22</v>
      </c>
      <c r="B8" s="4" t="s">
        <v>23</v>
      </c>
      <c r="C8" s="4" t="s">
        <v>27</v>
      </c>
      <c r="D8" s="4" t="s">
        <v>28</v>
      </c>
      <c r="E8" s="4" t="s">
        <v>138</v>
      </c>
      <c r="F8" s="4" t="s">
        <v>132</v>
      </c>
      <c r="G8" s="4" t="s">
        <v>133</v>
      </c>
      <c r="H8" s="4" t="s">
        <v>134</v>
      </c>
      <c r="I8" s="4" t="s">
        <v>152</v>
      </c>
      <c r="J8" s="4" t="s">
        <v>136</v>
      </c>
      <c r="K8" s="4" t="s">
        <v>153</v>
      </c>
    </row>
    <row r="9" spans="1:11" ht="14.25" customHeight="1">
      <c r="A9" s="4" t="s">
        <v>22</v>
      </c>
      <c r="B9" s="4" t="s">
        <v>23</v>
      </c>
      <c r="C9" s="4" t="s">
        <v>30</v>
      </c>
      <c r="D9" s="4" t="s">
        <v>31</v>
      </c>
      <c r="E9" s="4" t="s">
        <v>147</v>
      </c>
      <c r="F9" s="4" t="s">
        <v>139</v>
      </c>
      <c r="G9" s="4" t="s">
        <v>154</v>
      </c>
      <c r="H9" s="4" t="s">
        <v>134</v>
      </c>
      <c r="I9" s="4" t="s">
        <v>152</v>
      </c>
      <c r="J9" s="4" t="s">
        <v>155</v>
      </c>
      <c r="K9" s="4" t="s">
        <v>156</v>
      </c>
    </row>
    <row r="10" spans="1:11" ht="14.25" customHeight="1">
      <c r="A10" s="4" t="s">
        <v>22</v>
      </c>
      <c r="B10" s="4" t="s">
        <v>23</v>
      </c>
      <c r="C10" s="4" t="s">
        <v>33</v>
      </c>
      <c r="D10" s="4" t="s">
        <v>34</v>
      </c>
      <c r="E10" s="4" t="s">
        <v>131</v>
      </c>
      <c r="F10" s="4" t="s">
        <v>132</v>
      </c>
      <c r="G10" s="4" t="s">
        <v>133</v>
      </c>
      <c r="H10" s="4" t="s">
        <v>134</v>
      </c>
      <c r="I10" s="4" t="s">
        <v>149</v>
      </c>
      <c r="J10" s="4" t="s">
        <v>136</v>
      </c>
      <c r="K10" s="4" t="s">
        <v>157</v>
      </c>
    </row>
    <row r="11" spans="1:11" ht="14.25" customHeight="1">
      <c r="A11" s="4" t="s">
        <v>22</v>
      </c>
      <c r="B11" s="4" t="s">
        <v>23</v>
      </c>
      <c r="C11" s="4" t="s">
        <v>36</v>
      </c>
      <c r="D11" s="4" t="s">
        <v>37</v>
      </c>
      <c r="E11" s="4" t="s">
        <v>147</v>
      </c>
      <c r="F11" s="4" t="s">
        <v>132</v>
      </c>
      <c r="G11" s="4" t="s">
        <v>133</v>
      </c>
      <c r="H11" s="4" t="s">
        <v>134</v>
      </c>
      <c r="I11" s="4" t="s">
        <v>141</v>
      </c>
      <c r="J11" s="4" t="s">
        <v>155</v>
      </c>
      <c r="K11" s="4" t="s">
        <v>158</v>
      </c>
    </row>
    <row r="12" spans="1:11" ht="14.25" customHeight="1">
      <c r="A12" s="4" t="s">
        <v>39</v>
      </c>
      <c r="B12" s="4" t="s">
        <v>40</v>
      </c>
      <c r="C12" s="4" t="s">
        <v>41</v>
      </c>
      <c r="D12" s="4" t="s">
        <v>42</v>
      </c>
      <c r="E12" s="4" t="s">
        <v>138</v>
      </c>
      <c r="F12" s="4" t="s">
        <v>132</v>
      </c>
      <c r="G12" s="4" t="s">
        <v>133</v>
      </c>
      <c r="H12" s="4" t="s">
        <v>134</v>
      </c>
      <c r="I12" s="4" t="s">
        <v>141</v>
      </c>
      <c r="J12" s="4" t="s">
        <v>145</v>
      </c>
      <c r="K12" s="4" t="s">
        <v>159</v>
      </c>
    </row>
    <row r="13" spans="1:11" ht="14.25" customHeight="1">
      <c r="A13" s="4" t="s">
        <v>39</v>
      </c>
      <c r="B13" s="4" t="s">
        <v>40</v>
      </c>
      <c r="C13" s="4" t="s">
        <v>44</v>
      </c>
      <c r="D13" s="4" t="s">
        <v>45</v>
      </c>
      <c r="E13" s="4" t="s">
        <v>147</v>
      </c>
      <c r="F13" s="4" t="s">
        <v>132</v>
      </c>
      <c r="G13" s="4" t="s">
        <v>133</v>
      </c>
      <c r="H13" s="4" t="s">
        <v>134</v>
      </c>
      <c r="I13" s="4" t="s">
        <v>152</v>
      </c>
      <c r="J13" s="4" t="s">
        <v>145</v>
      </c>
      <c r="K13" s="4" t="s">
        <v>160</v>
      </c>
    </row>
    <row r="14" spans="1:11" ht="14.25" customHeight="1">
      <c r="A14" s="4" t="s">
        <v>39</v>
      </c>
      <c r="B14" s="4" t="s">
        <v>40</v>
      </c>
      <c r="C14" s="4" t="s">
        <v>47</v>
      </c>
      <c r="D14" s="4" t="s">
        <v>48</v>
      </c>
      <c r="E14" s="4" t="s">
        <v>131</v>
      </c>
      <c r="F14" s="4" t="s">
        <v>132</v>
      </c>
      <c r="G14" s="4" t="s">
        <v>133</v>
      </c>
      <c r="H14" s="4" t="s">
        <v>134</v>
      </c>
      <c r="I14" s="4" t="s">
        <v>152</v>
      </c>
      <c r="J14" s="4" t="s">
        <v>145</v>
      </c>
      <c r="K14" s="4" t="s">
        <v>161</v>
      </c>
    </row>
    <row r="15" spans="1:11" ht="14.25" customHeight="1">
      <c r="A15" s="4" t="s">
        <v>39</v>
      </c>
      <c r="B15" s="4" t="s">
        <v>40</v>
      </c>
      <c r="C15" s="4" t="s">
        <v>50</v>
      </c>
      <c r="D15" s="4" t="s">
        <v>51</v>
      </c>
      <c r="E15" s="4" t="s">
        <v>131</v>
      </c>
      <c r="F15" s="4" t="s">
        <v>162</v>
      </c>
      <c r="G15" s="4" t="s">
        <v>140</v>
      </c>
      <c r="H15" s="4" t="s">
        <v>144</v>
      </c>
      <c r="I15" s="4" t="s">
        <v>149</v>
      </c>
      <c r="J15" s="4" t="s">
        <v>145</v>
      </c>
      <c r="K15" s="4" t="s">
        <v>163</v>
      </c>
    </row>
    <row r="16" spans="1:11" ht="14.25" customHeight="1">
      <c r="A16" s="4" t="s">
        <v>39</v>
      </c>
      <c r="B16" s="4" t="s">
        <v>40</v>
      </c>
      <c r="C16" s="4" t="s">
        <v>53</v>
      </c>
      <c r="D16" s="4" t="s">
        <v>54</v>
      </c>
      <c r="E16" s="4" t="s">
        <v>147</v>
      </c>
      <c r="F16" s="4" t="s">
        <v>164</v>
      </c>
      <c r="G16" s="4" t="s">
        <v>154</v>
      </c>
      <c r="H16" s="4" t="s">
        <v>144</v>
      </c>
      <c r="I16" s="4" t="s">
        <v>165</v>
      </c>
      <c r="J16" s="4" t="s">
        <v>145</v>
      </c>
      <c r="K16" s="4" t="s">
        <v>166</v>
      </c>
    </row>
    <row r="17" spans="1:11" ht="14.25" customHeight="1">
      <c r="A17" s="4" t="s">
        <v>56</v>
      </c>
      <c r="B17" s="4" t="s">
        <v>57</v>
      </c>
      <c r="C17" s="4" t="s">
        <v>58</v>
      </c>
      <c r="D17" s="4" t="s">
        <v>59</v>
      </c>
      <c r="E17" s="4" t="s">
        <v>147</v>
      </c>
      <c r="F17" s="4" t="s">
        <v>132</v>
      </c>
      <c r="G17" s="4" t="s">
        <v>133</v>
      </c>
      <c r="H17" s="4" t="s">
        <v>134</v>
      </c>
      <c r="I17" s="4" t="s">
        <v>149</v>
      </c>
      <c r="J17" s="4" t="s">
        <v>167</v>
      </c>
      <c r="K17" s="4" t="s">
        <v>168</v>
      </c>
    </row>
    <row r="18" spans="1:11" ht="14.25" customHeight="1">
      <c r="A18" s="4" t="s">
        <v>56</v>
      </c>
      <c r="B18" s="4" t="s">
        <v>57</v>
      </c>
      <c r="C18" s="4" t="s">
        <v>61</v>
      </c>
      <c r="D18" s="4" t="s">
        <v>62</v>
      </c>
      <c r="E18" s="4" t="s">
        <v>147</v>
      </c>
      <c r="F18" s="4" t="s">
        <v>132</v>
      </c>
      <c r="G18" s="4" t="s">
        <v>133</v>
      </c>
      <c r="H18" s="4" t="s">
        <v>134</v>
      </c>
      <c r="I18" s="4" t="s">
        <v>149</v>
      </c>
      <c r="J18" s="4" t="s">
        <v>167</v>
      </c>
      <c r="K18" s="4" t="s">
        <v>169</v>
      </c>
    </row>
    <row r="19" spans="1:11" ht="14.25" customHeight="1">
      <c r="A19" s="4" t="s">
        <v>56</v>
      </c>
      <c r="B19" s="4" t="s">
        <v>57</v>
      </c>
      <c r="C19" s="4" t="s">
        <v>64</v>
      </c>
      <c r="D19" s="4" t="s">
        <v>65</v>
      </c>
      <c r="E19" s="4" t="s">
        <v>147</v>
      </c>
      <c r="F19" s="4" t="s">
        <v>132</v>
      </c>
      <c r="G19" s="4" t="s">
        <v>133</v>
      </c>
      <c r="H19" s="4" t="s">
        <v>134</v>
      </c>
      <c r="I19" s="4" t="s">
        <v>149</v>
      </c>
      <c r="J19" s="4" t="s">
        <v>167</v>
      </c>
      <c r="K19" s="4" t="s">
        <v>170</v>
      </c>
    </row>
    <row r="20" spans="1:11" ht="14.25" customHeight="1">
      <c r="A20" s="4" t="s">
        <v>56</v>
      </c>
      <c r="B20" s="4" t="s">
        <v>57</v>
      </c>
      <c r="C20" s="4" t="s">
        <v>67</v>
      </c>
      <c r="D20" s="4" t="s">
        <v>68</v>
      </c>
      <c r="E20" s="4" t="s">
        <v>147</v>
      </c>
      <c r="F20" s="4" t="s">
        <v>171</v>
      </c>
      <c r="G20" s="4" t="s">
        <v>154</v>
      </c>
      <c r="H20" s="4" t="s">
        <v>144</v>
      </c>
      <c r="I20" s="4" t="s">
        <v>149</v>
      </c>
      <c r="J20" s="4" t="s">
        <v>167</v>
      </c>
      <c r="K20" s="4" t="s">
        <v>172</v>
      </c>
    </row>
    <row r="21" spans="1:11" ht="14.25" customHeight="1">
      <c r="A21" s="4" t="s">
        <v>56</v>
      </c>
      <c r="B21" s="4" t="s">
        <v>57</v>
      </c>
      <c r="C21" s="4" t="s">
        <v>70</v>
      </c>
      <c r="D21" s="4" t="s">
        <v>71</v>
      </c>
      <c r="E21" s="4" t="s">
        <v>147</v>
      </c>
      <c r="F21" s="4" t="s">
        <v>132</v>
      </c>
      <c r="G21" s="4" t="s">
        <v>133</v>
      </c>
      <c r="H21" s="4" t="s">
        <v>134</v>
      </c>
      <c r="I21" s="4" t="s">
        <v>149</v>
      </c>
      <c r="J21" s="4" t="s">
        <v>167</v>
      </c>
      <c r="K21" s="4" t="s">
        <v>173</v>
      </c>
    </row>
    <row r="22" spans="1:11" ht="14.25" customHeight="1">
      <c r="A22" s="4" t="s">
        <v>73</v>
      </c>
      <c r="B22" s="4" t="s">
        <v>74</v>
      </c>
      <c r="C22" s="4" t="s">
        <v>75</v>
      </c>
      <c r="D22" s="4" t="s">
        <v>76</v>
      </c>
      <c r="E22" s="4" t="s">
        <v>138</v>
      </c>
      <c r="F22" s="4" t="s">
        <v>174</v>
      </c>
      <c r="G22" s="4" t="s">
        <v>140</v>
      </c>
      <c r="H22" s="4" t="s">
        <v>144</v>
      </c>
      <c r="I22" s="4" t="s">
        <v>135</v>
      </c>
      <c r="J22" s="4" t="s">
        <v>155</v>
      </c>
      <c r="K22" s="4" t="s">
        <v>175</v>
      </c>
    </row>
    <row r="23" spans="1:11" ht="14.25" customHeight="1">
      <c r="A23" s="4" t="s">
        <v>73</v>
      </c>
      <c r="B23" s="4" t="s">
        <v>74</v>
      </c>
      <c r="C23" s="4" t="s">
        <v>78</v>
      </c>
      <c r="D23" s="4" t="s">
        <v>79</v>
      </c>
      <c r="E23" s="4" t="s">
        <v>138</v>
      </c>
      <c r="F23" s="4" t="s">
        <v>176</v>
      </c>
      <c r="G23" s="4" t="s">
        <v>140</v>
      </c>
      <c r="H23" s="4" t="s">
        <v>144</v>
      </c>
      <c r="I23" s="4" t="s">
        <v>177</v>
      </c>
      <c r="J23" s="4" t="s">
        <v>155</v>
      </c>
      <c r="K23" s="4" t="s">
        <v>178</v>
      </c>
    </row>
    <row r="24" spans="1:11" ht="14.25" customHeight="1">
      <c r="A24" s="4" t="s">
        <v>73</v>
      </c>
      <c r="B24" s="4" t="s">
        <v>74</v>
      </c>
      <c r="C24" s="4" t="s">
        <v>81</v>
      </c>
      <c r="D24" s="4" t="s">
        <v>82</v>
      </c>
      <c r="E24" s="4" t="s">
        <v>138</v>
      </c>
      <c r="F24" s="4" t="s">
        <v>179</v>
      </c>
      <c r="G24" s="4" t="s">
        <v>140</v>
      </c>
      <c r="H24" s="4" t="s">
        <v>144</v>
      </c>
      <c r="I24" s="4" t="s">
        <v>152</v>
      </c>
      <c r="J24" s="4" t="s">
        <v>155</v>
      </c>
      <c r="K24" s="4" t="s">
        <v>180</v>
      </c>
    </row>
    <row r="25" spans="1:11" ht="14.25" customHeight="1">
      <c r="A25" s="4" t="s">
        <v>73</v>
      </c>
      <c r="B25" s="4" t="s">
        <v>74</v>
      </c>
      <c r="C25" s="4" t="s">
        <v>84</v>
      </c>
      <c r="D25" s="4" t="s">
        <v>85</v>
      </c>
      <c r="E25" s="4" t="s">
        <v>131</v>
      </c>
      <c r="F25" s="4" t="s">
        <v>181</v>
      </c>
      <c r="G25" s="4" t="s">
        <v>140</v>
      </c>
      <c r="H25" s="4" t="s">
        <v>144</v>
      </c>
      <c r="I25" s="4" t="s">
        <v>149</v>
      </c>
      <c r="J25" s="4" t="s">
        <v>145</v>
      </c>
      <c r="K25" s="4" t="s">
        <v>182</v>
      </c>
    </row>
    <row r="26" spans="1:11" ht="14.25" customHeight="1">
      <c r="A26" s="4" t="s">
        <v>73</v>
      </c>
      <c r="B26" s="4" t="s">
        <v>74</v>
      </c>
      <c r="C26" s="4" t="s">
        <v>87</v>
      </c>
      <c r="D26" s="4" t="s">
        <v>88</v>
      </c>
      <c r="E26" s="4" t="s">
        <v>147</v>
      </c>
      <c r="F26" s="4" t="s">
        <v>183</v>
      </c>
      <c r="G26" s="4" t="s">
        <v>154</v>
      </c>
      <c r="H26" s="4" t="s">
        <v>144</v>
      </c>
      <c r="I26" s="4" t="s">
        <v>184</v>
      </c>
      <c r="J26" s="4" t="s">
        <v>155</v>
      </c>
      <c r="K26" s="4" t="s">
        <v>185</v>
      </c>
    </row>
    <row r="27" spans="1:11" ht="14.25" customHeight="1">
      <c r="A27" s="4" t="s">
        <v>90</v>
      </c>
      <c r="B27" s="4" t="s">
        <v>91</v>
      </c>
      <c r="C27" s="4" t="s">
        <v>92</v>
      </c>
      <c r="D27" s="4" t="s">
        <v>93</v>
      </c>
      <c r="E27" s="4" t="s">
        <v>131</v>
      </c>
      <c r="F27" s="4" t="s">
        <v>186</v>
      </c>
      <c r="G27" s="4" t="s">
        <v>140</v>
      </c>
      <c r="H27" s="4" t="s">
        <v>144</v>
      </c>
      <c r="I27" s="4" t="s">
        <v>152</v>
      </c>
      <c r="J27" s="4" t="s">
        <v>136</v>
      </c>
      <c r="K27" s="4" t="s">
        <v>187</v>
      </c>
    </row>
    <row r="28" spans="1:11" ht="14.25" customHeight="1">
      <c r="A28" s="4" t="s">
        <v>90</v>
      </c>
      <c r="B28" s="4" t="s">
        <v>91</v>
      </c>
      <c r="C28" s="4" t="s">
        <v>95</v>
      </c>
      <c r="D28" s="4" t="s">
        <v>96</v>
      </c>
      <c r="E28" s="4" t="s">
        <v>131</v>
      </c>
      <c r="F28" s="4" t="s">
        <v>188</v>
      </c>
      <c r="G28" s="4" t="s">
        <v>140</v>
      </c>
      <c r="H28" s="4" t="s">
        <v>144</v>
      </c>
      <c r="I28" s="4" t="s">
        <v>149</v>
      </c>
      <c r="J28" s="4" t="s">
        <v>145</v>
      </c>
      <c r="K28" s="4" t="s">
        <v>189</v>
      </c>
    </row>
    <row r="29" spans="1:11" ht="14.25" customHeight="1">
      <c r="A29" s="4" t="s">
        <v>90</v>
      </c>
      <c r="B29" s="4" t="s">
        <v>91</v>
      </c>
      <c r="C29" s="4" t="s">
        <v>98</v>
      </c>
      <c r="D29" s="4" t="s">
        <v>99</v>
      </c>
      <c r="E29" s="4" t="s">
        <v>131</v>
      </c>
      <c r="F29" s="4" t="s">
        <v>132</v>
      </c>
      <c r="G29" s="4" t="s">
        <v>133</v>
      </c>
      <c r="H29" s="4" t="s">
        <v>134</v>
      </c>
      <c r="I29" s="4" t="s">
        <v>141</v>
      </c>
      <c r="J29" s="4" t="s">
        <v>155</v>
      </c>
      <c r="K29" s="4" t="s">
        <v>190</v>
      </c>
    </row>
    <row r="30" spans="1:11" ht="14.25" customHeight="1">
      <c r="A30" s="4" t="s">
        <v>90</v>
      </c>
      <c r="B30" s="4" t="s">
        <v>91</v>
      </c>
      <c r="C30" s="4" t="s">
        <v>101</v>
      </c>
      <c r="D30" s="4" t="s">
        <v>102</v>
      </c>
      <c r="E30" s="4" t="s">
        <v>147</v>
      </c>
      <c r="F30" s="4" t="s">
        <v>191</v>
      </c>
      <c r="G30" s="4" t="s">
        <v>192</v>
      </c>
      <c r="H30" s="4" t="s">
        <v>134</v>
      </c>
      <c r="I30" s="4" t="s">
        <v>184</v>
      </c>
      <c r="J30" s="4" t="s">
        <v>145</v>
      </c>
      <c r="K30" s="4" t="s">
        <v>193</v>
      </c>
    </row>
    <row r="31" spans="1:11" ht="14.25" customHeight="1">
      <c r="A31" s="4" t="s">
        <v>90</v>
      </c>
      <c r="B31" s="4" t="s">
        <v>91</v>
      </c>
      <c r="C31" s="4" t="s">
        <v>104</v>
      </c>
      <c r="D31" s="4" t="s">
        <v>105</v>
      </c>
      <c r="E31" s="4" t="s">
        <v>147</v>
      </c>
      <c r="F31" s="4" t="s">
        <v>132</v>
      </c>
      <c r="G31" s="4" t="s">
        <v>133</v>
      </c>
      <c r="H31" s="4" t="s">
        <v>134</v>
      </c>
      <c r="I31" s="4" t="s">
        <v>141</v>
      </c>
      <c r="J31" s="4" t="s">
        <v>155</v>
      </c>
      <c r="K31" s="4" t="s">
        <v>194</v>
      </c>
    </row>
    <row r="32" spans="1:11" ht="14.25" customHeight="1">
      <c r="A32" s="4" t="s">
        <v>107</v>
      </c>
      <c r="B32" s="4" t="s">
        <v>108</v>
      </c>
      <c r="C32" s="4" t="s">
        <v>109</v>
      </c>
      <c r="D32" s="4" t="s">
        <v>110</v>
      </c>
      <c r="E32" s="4" t="s">
        <v>131</v>
      </c>
      <c r="F32" s="4" t="s">
        <v>195</v>
      </c>
      <c r="G32" s="4" t="s">
        <v>133</v>
      </c>
      <c r="H32" s="4" t="s">
        <v>134</v>
      </c>
      <c r="I32" s="4" t="s">
        <v>196</v>
      </c>
      <c r="J32" s="4" t="s">
        <v>167</v>
      </c>
      <c r="K32" s="4" t="s">
        <v>197</v>
      </c>
    </row>
    <row r="33" spans="1:11" ht="14.25" customHeight="1">
      <c r="A33" s="4" t="s">
        <v>107</v>
      </c>
      <c r="B33" s="4" t="s">
        <v>108</v>
      </c>
      <c r="C33" s="4" t="s">
        <v>112</v>
      </c>
      <c r="D33" s="4" t="s">
        <v>113</v>
      </c>
      <c r="E33" s="4" t="s">
        <v>147</v>
      </c>
      <c r="F33" s="4" t="s">
        <v>198</v>
      </c>
      <c r="G33" s="4" t="s">
        <v>154</v>
      </c>
      <c r="H33" s="4" t="s">
        <v>144</v>
      </c>
      <c r="I33" s="4" t="s">
        <v>149</v>
      </c>
      <c r="J33" s="4" t="s">
        <v>167</v>
      </c>
      <c r="K33" s="4" t="s">
        <v>199</v>
      </c>
    </row>
    <row r="34" spans="1:11" ht="14.25" customHeight="1">
      <c r="A34" s="4" t="s">
        <v>107</v>
      </c>
      <c r="B34" s="4" t="s">
        <v>108</v>
      </c>
      <c r="C34" s="4" t="s">
        <v>115</v>
      </c>
      <c r="D34" s="4" t="s">
        <v>116</v>
      </c>
      <c r="E34" s="4" t="s">
        <v>147</v>
      </c>
      <c r="F34" s="4" t="s">
        <v>200</v>
      </c>
      <c r="G34" s="4" t="s">
        <v>154</v>
      </c>
      <c r="H34" s="4" t="s">
        <v>144</v>
      </c>
      <c r="I34" s="4" t="s">
        <v>152</v>
      </c>
      <c r="J34" s="4" t="s">
        <v>145</v>
      </c>
      <c r="K34" s="4" t="s">
        <v>201</v>
      </c>
    </row>
    <row r="35" spans="1:11" ht="14.25" customHeight="1">
      <c r="A35" s="4" t="s">
        <v>107</v>
      </c>
      <c r="B35" s="4" t="s">
        <v>108</v>
      </c>
      <c r="C35" s="4" t="s">
        <v>118</v>
      </c>
      <c r="D35" s="4" t="s">
        <v>119</v>
      </c>
      <c r="E35" s="4" t="s">
        <v>147</v>
      </c>
      <c r="F35" s="4" t="s">
        <v>202</v>
      </c>
      <c r="G35" s="4" t="s">
        <v>192</v>
      </c>
      <c r="H35" s="4" t="s">
        <v>134</v>
      </c>
      <c r="I35" s="4" t="s">
        <v>184</v>
      </c>
      <c r="J35" s="4" t="s">
        <v>145</v>
      </c>
      <c r="K35" s="4" t="s">
        <v>203</v>
      </c>
    </row>
    <row r="36" spans="1:11" ht="14.25" customHeight="1">
      <c r="A36" s="4" t="s">
        <v>107</v>
      </c>
      <c r="B36" s="4" t="s">
        <v>108</v>
      </c>
      <c r="C36" s="4" t="s">
        <v>121</v>
      </c>
      <c r="D36" s="4" t="s">
        <v>122</v>
      </c>
      <c r="E36" s="4" t="s">
        <v>147</v>
      </c>
      <c r="F36" s="4" t="s">
        <v>204</v>
      </c>
      <c r="G36" s="4" t="s">
        <v>154</v>
      </c>
      <c r="H36" s="4" t="s">
        <v>144</v>
      </c>
      <c r="I36" s="4" t="s">
        <v>184</v>
      </c>
      <c r="J36" s="4" t="s">
        <v>155</v>
      </c>
      <c r="K36" s="4" t="s">
        <v>205</v>
      </c>
    </row>
    <row r="37" spans="1:11" ht="14.25" customHeight="1"/>
    <row r="38" spans="1:11" ht="14.25" customHeight="1"/>
    <row r="39" spans="1:11" ht="14.25" customHeight="1"/>
    <row r="40" spans="1:11" ht="14.25" customHeight="1"/>
    <row r="41" spans="1:11" ht="14.25" customHeight="1"/>
    <row r="42" spans="1:11" ht="14.25" customHeight="1"/>
    <row r="43" spans="1:11" ht="14.25" customHeight="1"/>
    <row r="44" spans="1:11" ht="14.25" customHeight="1"/>
    <row r="45" spans="1:11" ht="14.25" customHeight="1"/>
    <row r="46" spans="1:11" ht="14.25" customHeight="1"/>
    <row r="47" spans="1:11" ht="14.25" customHeight="1"/>
    <row r="48" spans="1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A42" sqref="A42"/>
    </sheetView>
  </sheetViews>
  <sheetFormatPr defaultColWidth="14.44140625" defaultRowHeight="15" customHeight="1"/>
  <cols>
    <col min="1" max="1" width="20" customWidth="1"/>
    <col min="2" max="2" width="18" customWidth="1"/>
    <col min="3" max="3" width="14" customWidth="1"/>
    <col min="4" max="4" width="16" customWidth="1"/>
    <col min="5" max="5" width="18" customWidth="1"/>
    <col min="6" max="7" width="12" customWidth="1"/>
    <col min="8" max="8" width="14" customWidth="1"/>
    <col min="9" max="9" width="26" customWidth="1"/>
    <col min="10" max="10" width="18" customWidth="1"/>
    <col min="11" max="26" width="8.6640625" customWidth="1"/>
  </cols>
  <sheetData>
    <row r="1" spans="1:10" ht="14.25" customHeight="1">
      <c r="A1" s="5" t="s">
        <v>0</v>
      </c>
      <c r="B1" s="5" t="s">
        <v>206</v>
      </c>
      <c r="C1" s="5" t="s">
        <v>207</v>
      </c>
      <c r="D1" s="5" t="s">
        <v>208</v>
      </c>
      <c r="E1" s="5" t="s">
        <v>209</v>
      </c>
      <c r="F1" s="5" t="s">
        <v>210</v>
      </c>
      <c r="G1" s="5" t="s">
        <v>211</v>
      </c>
      <c r="H1" s="5" t="s">
        <v>212</v>
      </c>
      <c r="I1" s="5" t="s">
        <v>213</v>
      </c>
      <c r="J1" s="5" t="s">
        <v>214</v>
      </c>
    </row>
    <row r="2" spans="1:10" ht="14.25" customHeight="1">
      <c r="A2" s="6" t="s">
        <v>5</v>
      </c>
      <c r="B2" s="6">
        <f>COUNTIF(CNAPP_ZTA_Mapping!A:A, "Domain 1")</f>
        <v>5</v>
      </c>
      <c r="C2" s="6">
        <f>COUNTIFS(CNAPP_ZTA_Mapping!A:A, "Domain 1", CNAPP_ZTA_Mapping!H:H, "Direct")</f>
        <v>1</v>
      </c>
      <c r="D2" s="6">
        <f>COUNTIFS(CNAPP_ZTA_Mapping!A:A, "Domain 1", CNAPP_ZTA_Mapping!H:H, "Indirect")</f>
        <v>4</v>
      </c>
      <c r="E2" s="6">
        <f>COUNTIFS(CNAPP_ZTA_Mapping!A:A, "Domain 1", CNAPP_ZTA_Mapping!H:H, "Not Covered")</f>
        <v>0</v>
      </c>
      <c r="F2" s="7">
        <f t="shared" ref="F2:F8" si="0">IF(B2&gt;0, C2/B2, 0)</f>
        <v>0.2</v>
      </c>
      <c r="G2" s="7">
        <f t="shared" ref="G2:G8" si="1">IF(B2&gt;0, D2/B2, 0)</f>
        <v>0.8</v>
      </c>
      <c r="H2" s="7">
        <f t="shared" ref="H2:H8" si="2">IF(B2&gt;0, E2/B2, 0)</f>
        <v>0</v>
      </c>
      <c r="I2" s="7">
        <f t="shared" ref="I2:I8" si="3">IF((C2+D2)&gt;0, C2/(C2+D2), 0)</f>
        <v>0.2</v>
      </c>
      <c r="J2" s="7">
        <f t="shared" ref="J2:J8" si="4">IF(B2&gt;0, C2/B2, 0)</f>
        <v>0.2</v>
      </c>
    </row>
    <row r="3" spans="1:10" ht="14.25" customHeight="1">
      <c r="A3" s="6" t="s">
        <v>22</v>
      </c>
      <c r="B3" s="6">
        <f>COUNTIF(CNAPP_ZTA_Mapping!A:A, "Domain 2")</f>
        <v>5</v>
      </c>
      <c r="C3" s="6">
        <f>COUNTIFS(CNAPP_ZTA_Mapping!A:A, "Domain 2", CNAPP_ZTA_Mapping!H:H, "Direct")</f>
        <v>0</v>
      </c>
      <c r="D3" s="6">
        <f>COUNTIFS(CNAPP_ZTA_Mapping!A:A, "Domain 2", CNAPP_ZTA_Mapping!H:H, "Indirect")</f>
        <v>5</v>
      </c>
      <c r="E3" s="6">
        <f>COUNTIFS(CNAPP_ZTA_Mapping!A:A, "Domain 2", CNAPP_ZTA_Mapping!H:H, "Not Covered")</f>
        <v>0</v>
      </c>
      <c r="F3" s="7">
        <f t="shared" si="0"/>
        <v>0</v>
      </c>
      <c r="G3" s="7">
        <f t="shared" si="1"/>
        <v>1</v>
      </c>
      <c r="H3" s="7">
        <f t="shared" si="2"/>
        <v>0</v>
      </c>
      <c r="I3" s="7">
        <f t="shared" si="3"/>
        <v>0</v>
      </c>
      <c r="J3" s="7">
        <f t="shared" si="4"/>
        <v>0</v>
      </c>
    </row>
    <row r="4" spans="1:10" ht="14.25" customHeight="1">
      <c r="A4" s="6" t="s">
        <v>39</v>
      </c>
      <c r="B4" s="6">
        <f>COUNTIF(CNAPP_ZTA_Mapping!A:A, "Domain 3")</f>
        <v>5</v>
      </c>
      <c r="C4" s="6">
        <f>COUNTIFS(CNAPP_ZTA_Mapping!A:A, "Domain 3", CNAPP_ZTA_Mapping!H:H, "Direct")</f>
        <v>2</v>
      </c>
      <c r="D4" s="6">
        <f>COUNTIFS(CNAPP_ZTA_Mapping!A:A, "Domain 3", CNAPP_ZTA_Mapping!H:H, "Indirect")</f>
        <v>3</v>
      </c>
      <c r="E4" s="6">
        <f>COUNTIFS(CNAPP_ZTA_Mapping!A:A, "Domain 3", CNAPP_ZTA_Mapping!H:H, "Not Covered")</f>
        <v>0</v>
      </c>
      <c r="F4" s="7">
        <f t="shared" si="0"/>
        <v>0.4</v>
      </c>
      <c r="G4" s="7">
        <f t="shared" si="1"/>
        <v>0.6</v>
      </c>
      <c r="H4" s="7">
        <f t="shared" si="2"/>
        <v>0</v>
      </c>
      <c r="I4" s="7">
        <f t="shared" si="3"/>
        <v>0.4</v>
      </c>
      <c r="J4" s="7">
        <f t="shared" si="4"/>
        <v>0.4</v>
      </c>
    </row>
    <row r="5" spans="1:10" ht="14.25" customHeight="1">
      <c r="A5" s="6" t="s">
        <v>56</v>
      </c>
      <c r="B5" s="6">
        <f>COUNTIF(CNAPP_ZTA_Mapping!A:A, "Domain 4")</f>
        <v>5</v>
      </c>
      <c r="C5" s="6">
        <f>COUNTIFS(CNAPP_ZTA_Mapping!A:A, "Domain 4", CNAPP_ZTA_Mapping!H:H, "Direct")</f>
        <v>1</v>
      </c>
      <c r="D5" s="6">
        <f>COUNTIFS(CNAPP_ZTA_Mapping!A:A, "Domain 4", CNAPP_ZTA_Mapping!H:H, "Indirect")</f>
        <v>4</v>
      </c>
      <c r="E5" s="6">
        <f>COUNTIFS(CNAPP_ZTA_Mapping!A:A, "Domain 4", CNAPP_ZTA_Mapping!H:H, "Not Covered")</f>
        <v>0</v>
      </c>
      <c r="F5" s="7">
        <f t="shared" si="0"/>
        <v>0.2</v>
      </c>
      <c r="G5" s="7">
        <f t="shared" si="1"/>
        <v>0.8</v>
      </c>
      <c r="H5" s="7">
        <f t="shared" si="2"/>
        <v>0</v>
      </c>
      <c r="I5" s="7">
        <f t="shared" si="3"/>
        <v>0.2</v>
      </c>
      <c r="J5" s="7">
        <f t="shared" si="4"/>
        <v>0.2</v>
      </c>
    </row>
    <row r="6" spans="1:10" ht="14.25" customHeight="1">
      <c r="A6" s="6" t="s">
        <v>73</v>
      </c>
      <c r="B6" s="6">
        <f>COUNTIF(CNAPP_ZTA_Mapping!A:A, "Domain 5")</f>
        <v>5</v>
      </c>
      <c r="C6" s="6">
        <f>COUNTIFS(CNAPP_ZTA_Mapping!A:A, "Domain 5", CNAPP_ZTA_Mapping!H:H, "Direct")</f>
        <v>5</v>
      </c>
      <c r="D6" s="6">
        <f>COUNTIFS(CNAPP_ZTA_Mapping!A:A, "Domain 5", CNAPP_ZTA_Mapping!H:H, "Indirect")</f>
        <v>0</v>
      </c>
      <c r="E6" s="6">
        <f>COUNTIFS(CNAPP_ZTA_Mapping!A:A, "Domain 5", CNAPP_ZTA_Mapping!H:H, "Not Covered")</f>
        <v>0</v>
      </c>
      <c r="F6" s="7">
        <f t="shared" si="0"/>
        <v>1</v>
      </c>
      <c r="G6" s="7">
        <f t="shared" si="1"/>
        <v>0</v>
      </c>
      <c r="H6" s="7">
        <f t="shared" si="2"/>
        <v>0</v>
      </c>
      <c r="I6" s="7">
        <f t="shared" si="3"/>
        <v>1</v>
      </c>
      <c r="J6" s="7">
        <f t="shared" si="4"/>
        <v>1</v>
      </c>
    </row>
    <row r="7" spans="1:10" ht="14.25" customHeight="1">
      <c r="A7" s="6" t="s">
        <v>90</v>
      </c>
      <c r="B7" s="6">
        <f>COUNTIF(CNAPP_ZTA_Mapping!A:A, "Domain 6")</f>
        <v>5</v>
      </c>
      <c r="C7" s="6">
        <f>COUNTIFS(CNAPP_ZTA_Mapping!A:A, "Domain 6", CNAPP_ZTA_Mapping!H:H, "Direct")</f>
        <v>2</v>
      </c>
      <c r="D7" s="6">
        <f>COUNTIFS(CNAPP_ZTA_Mapping!A:A, "Domain 6", CNAPP_ZTA_Mapping!H:H, "Indirect")</f>
        <v>3</v>
      </c>
      <c r="E7" s="6">
        <f>COUNTIFS(CNAPP_ZTA_Mapping!A:A, "Domain 6", CNAPP_ZTA_Mapping!H:H, "Not Covered")</f>
        <v>0</v>
      </c>
      <c r="F7" s="7">
        <f t="shared" si="0"/>
        <v>0.4</v>
      </c>
      <c r="G7" s="7">
        <f t="shared" si="1"/>
        <v>0.6</v>
      </c>
      <c r="H7" s="7">
        <f t="shared" si="2"/>
        <v>0</v>
      </c>
      <c r="I7" s="7">
        <f t="shared" si="3"/>
        <v>0.4</v>
      </c>
      <c r="J7" s="7">
        <f t="shared" si="4"/>
        <v>0.4</v>
      </c>
    </row>
    <row r="8" spans="1:10" ht="14.25" customHeight="1">
      <c r="A8" s="6" t="s">
        <v>107</v>
      </c>
      <c r="B8" s="6">
        <f>COUNTIF(CNAPP_ZTA_Mapping!A:A, "Domain 7")</f>
        <v>5</v>
      </c>
      <c r="C8" s="6">
        <f>COUNTIFS(CNAPP_ZTA_Mapping!A:A, "Domain 7", CNAPP_ZTA_Mapping!H:H, "Direct")</f>
        <v>3</v>
      </c>
      <c r="D8" s="6">
        <f>COUNTIFS(CNAPP_ZTA_Mapping!A:A, "Domain 7", CNAPP_ZTA_Mapping!H:H, "Indirect")</f>
        <v>2</v>
      </c>
      <c r="E8" s="6">
        <f>COUNTIFS(CNAPP_ZTA_Mapping!A:A, "Domain 7", CNAPP_ZTA_Mapping!H:H, "Not Covered")</f>
        <v>0</v>
      </c>
      <c r="F8" s="7">
        <f t="shared" si="0"/>
        <v>0.6</v>
      </c>
      <c r="G8" s="7">
        <f t="shared" si="1"/>
        <v>0.4</v>
      </c>
      <c r="H8" s="7">
        <f t="shared" si="2"/>
        <v>0</v>
      </c>
      <c r="I8" s="7">
        <f t="shared" si="3"/>
        <v>0.6</v>
      </c>
      <c r="J8" s="7">
        <f t="shared" si="4"/>
        <v>0.6</v>
      </c>
    </row>
    <row r="9" spans="1:10" ht="14.25" customHeight="1"/>
    <row r="10" spans="1:10" ht="14.25" customHeight="1"/>
    <row r="11" spans="1:10" ht="14.25" customHeight="1"/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4.44140625" defaultRowHeight="15" customHeight="1"/>
  <cols>
    <col min="1" max="10" width="18" customWidth="1"/>
    <col min="11" max="26" width="8.6640625" customWidth="1"/>
  </cols>
  <sheetData>
    <row r="1" spans="1:10" ht="14.25" customHeight="1">
      <c r="A1" s="6" t="s">
        <v>0</v>
      </c>
      <c r="B1" s="6" t="s">
        <v>206</v>
      </c>
      <c r="C1" s="6" t="s">
        <v>215</v>
      </c>
      <c r="D1" s="6" t="s">
        <v>216</v>
      </c>
      <c r="E1" s="6" t="s">
        <v>217</v>
      </c>
      <c r="F1" s="6" t="s">
        <v>218</v>
      </c>
      <c r="G1" s="6" t="s">
        <v>219</v>
      </c>
      <c r="H1" s="6" t="s">
        <v>220</v>
      </c>
      <c r="I1" s="6" t="s">
        <v>221</v>
      </c>
      <c r="J1" s="6" t="s">
        <v>222</v>
      </c>
    </row>
    <row r="2" spans="1:10" ht="14.25" customHeight="1">
      <c r="A2" s="6" t="s">
        <v>5</v>
      </c>
      <c r="B2" s="6">
        <f>COUNTIF(CNAPP_ZTA_Mapping!A:A, "Domain 1")</f>
        <v>5</v>
      </c>
      <c r="C2" s="6">
        <f>COUNTIFS(CNAPP_ZTA_Mapping!A:A, "Domain 1", CNAPP_ZTA_Mapping!F:F, "*PE*")</f>
        <v>4</v>
      </c>
      <c r="D2" s="6">
        <f>COUNTIFS(CNAPP_ZTA_Mapping!A:A, "Domain 1", CNAPP_ZTA_Mapping!F:F, "*PA*")</f>
        <v>1</v>
      </c>
      <c r="E2" s="6">
        <f>COUNTIFS(CNAPP_ZTA_Mapping!A:A, "Domain 1", CNAPP_ZTA_Mapping!F:F, "*PEP*")</f>
        <v>1</v>
      </c>
      <c r="F2" s="6">
        <f>COUNTIFS(CNAPP_ZTA_Mapping!A:A, "Domain 1", CNAPP_ZTA_Mapping!F:F, "*Telemetry*")</f>
        <v>4</v>
      </c>
      <c r="G2" s="7">
        <f t="shared" ref="G2:G8" si="0">IF(B2&gt;0, C2/B2, 0)</f>
        <v>0.8</v>
      </c>
      <c r="H2" s="7">
        <f t="shared" ref="H2:H8" si="1">IF(B2&gt;0, D2/B2, 0)</f>
        <v>0.2</v>
      </c>
      <c r="I2" s="7">
        <f t="shared" ref="I2:I8" si="2">IF(B2&gt;0, E2/B2, 0)</f>
        <v>0.2</v>
      </c>
      <c r="J2" s="7">
        <f t="shared" ref="J2:J8" si="3">IF(B2&gt;0, F2/B2, 0)</f>
        <v>0.8</v>
      </c>
    </row>
    <row r="3" spans="1:10" ht="14.25" customHeight="1">
      <c r="A3" s="6" t="s">
        <v>22</v>
      </c>
      <c r="B3" s="6">
        <f>COUNTIF(CNAPP_ZTA_Mapping!A:A, "Domain 2")</f>
        <v>5</v>
      </c>
      <c r="C3" s="6">
        <f>COUNTIFS(CNAPP_ZTA_Mapping!A:A, "Domain 2", CNAPP_ZTA_Mapping!F:F, "*PE*")</f>
        <v>4</v>
      </c>
      <c r="D3" s="6">
        <f>COUNTIFS(CNAPP_ZTA_Mapping!A:A, "Domain 2", CNAPP_ZTA_Mapping!F:F, "*PA*")</f>
        <v>1</v>
      </c>
      <c r="E3" s="6">
        <f>COUNTIFS(CNAPP_ZTA_Mapping!A:A, "Domain 2", CNAPP_ZTA_Mapping!F:F, "*PEP*")</f>
        <v>0</v>
      </c>
      <c r="F3" s="6">
        <f>COUNTIFS(CNAPP_ZTA_Mapping!A:A, "Domain 2", CNAPP_ZTA_Mapping!F:F, "*Telemetry*")</f>
        <v>5</v>
      </c>
      <c r="G3" s="7">
        <f t="shared" si="0"/>
        <v>0.8</v>
      </c>
      <c r="H3" s="7">
        <f t="shared" si="1"/>
        <v>0.2</v>
      </c>
      <c r="I3" s="7">
        <f t="shared" si="2"/>
        <v>0</v>
      </c>
      <c r="J3" s="7">
        <f t="shared" si="3"/>
        <v>1</v>
      </c>
    </row>
    <row r="4" spans="1:10" ht="14.25" customHeight="1">
      <c r="A4" s="6" t="s">
        <v>39</v>
      </c>
      <c r="B4" s="6">
        <f>COUNTIF(CNAPP_ZTA_Mapping!A:A, "Domain 3")</f>
        <v>5</v>
      </c>
      <c r="C4" s="6">
        <f>COUNTIFS(CNAPP_ZTA_Mapping!A:A, "Domain 3", CNAPP_ZTA_Mapping!F:F, "*PE*")</f>
        <v>5</v>
      </c>
      <c r="D4" s="6">
        <f>COUNTIFS(CNAPP_ZTA_Mapping!A:A, "Domain 3", CNAPP_ZTA_Mapping!F:F, "*PA*")</f>
        <v>1</v>
      </c>
      <c r="E4" s="6">
        <f>COUNTIFS(CNAPP_ZTA_Mapping!A:A, "Domain 3", CNAPP_ZTA_Mapping!F:F, "*PEP*")</f>
        <v>2</v>
      </c>
      <c r="F4" s="6">
        <f>COUNTIFS(CNAPP_ZTA_Mapping!A:A, "Domain 3", CNAPP_ZTA_Mapping!F:F, "*Telemetry*")</f>
        <v>3</v>
      </c>
      <c r="G4" s="7">
        <f t="shared" si="0"/>
        <v>1</v>
      </c>
      <c r="H4" s="7">
        <f t="shared" si="1"/>
        <v>0.2</v>
      </c>
      <c r="I4" s="7">
        <f t="shared" si="2"/>
        <v>0.4</v>
      </c>
      <c r="J4" s="7">
        <f t="shared" si="3"/>
        <v>0.6</v>
      </c>
    </row>
    <row r="5" spans="1:10" ht="14.25" customHeight="1">
      <c r="A5" s="6" t="s">
        <v>56</v>
      </c>
      <c r="B5" s="6">
        <f>COUNTIF(CNAPP_ZTA_Mapping!A:A, "Domain 4")</f>
        <v>5</v>
      </c>
      <c r="C5" s="6">
        <f>COUNTIFS(CNAPP_ZTA_Mapping!A:A, "Domain 4", CNAPP_ZTA_Mapping!F:F, "*PE*")</f>
        <v>5</v>
      </c>
      <c r="D5" s="6">
        <f>COUNTIFS(CNAPP_ZTA_Mapping!A:A, "Domain 4", CNAPP_ZTA_Mapping!F:F, "*PA*")</f>
        <v>1</v>
      </c>
      <c r="E5" s="6">
        <f>COUNTIFS(CNAPP_ZTA_Mapping!A:A, "Domain 4", CNAPP_ZTA_Mapping!F:F, "*PEP*")</f>
        <v>1</v>
      </c>
      <c r="F5" s="6">
        <f>COUNTIFS(CNAPP_ZTA_Mapping!A:A, "Domain 4", CNAPP_ZTA_Mapping!F:F, "*Telemetry*")</f>
        <v>4</v>
      </c>
      <c r="G5" s="7">
        <f t="shared" si="0"/>
        <v>1</v>
      </c>
      <c r="H5" s="7">
        <f t="shared" si="1"/>
        <v>0.2</v>
      </c>
      <c r="I5" s="7">
        <f t="shared" si="2"/>
        <v>0.2</v>
      </c>
      <c r="J5" s="7">
        <f t="shared" si="3"/>
        <v>0.8</v>
      </c>
    </row>
    <row r="6" spans="1:10" ht="14.25" customHeight="1">
      <c r="A6" s="6" t="s">
        <v>73</v>
      </c>
      <c r="B6" s="6">
        <f>COUNTIF(CNAPP_ZTA_Mapping!A:A, "Domain 5")</f>
        <v>5</v>
      </c>
      <c r="C6" s="6">
        <f>COUNTIFS(CNAPP_ZTA_Mapping!A:A, "Domain 5", CNAPP_ZTA_Mapping!F:F, "*PE*")</f>
        <v>5</v>
      </c>
      <c r="D6" s="6">
        <f>COUNTIFS(CNAPP_ZTA_Mapping!A:A, "Domain 5", CNAPP_ZTA_Mapping!F:F, "*PA*")</f>
        <v>0</v>
      </c>
      <c r="E6" s="6">
        <f>COUNTIFS(CNAPP_ZTA_Mapping!A:A, "Domain 5", CNAPP_ZTA_Mapping!F:F, "*PEP*")</f>
        <v>5</v>
      </c>
      <c r="F6" s="6">
        <f>COUNTIFS(CNAPP_ZTA_Mapping!A:A, "Domain 5", CNAPP_ZTA_Mapping!F:F, "*Telemetry*")</f>
        <v>0</v>
      </c>
      <c r="G6" s="7">
        <f t="shared" si="0"/>
        <v>1</v>
      </c>
      <c r="H6" s="7">
        <f t="shared" si="1"/>
        <v>0</v>
      </c>
      <c r="I6" s="7">
        <f t="shared" si="2"/>
        <v>1</v>
      </c>
      <c r="J6" s="7">
        <f t="shared" si="3"/>
        <v>0</v>
      </c>
    </row>
    <row r="7" spans="1:10" ht="14.25" customHeight="1">
      <c r="A7" s="6" t="s">
        <v>90</v>
      </c>
      <c r="B7" s="6">
        <f>COUNTIF(CNAPP_ZTA_Mapping!A:A, "Domain 6")</f>
        <v>5</v>
      </c>
      <c r="C7" s="6">
        <f>COUNTIFS(CNAPP_ZTA_Mapping!A:A, "Domain 6", CNAPP_ZTA_Mapping!F:F, "*PE*")</f>
        <v>4</v>
      </c>
      <c r="D7" s="6">
        <f>COUNTIFS(CNAPP_ZTA_Mapping!A:A, "Domain 6", CNAPP_ZTA_Mapping!F:F, "*PA*")</f>
        <v>1</v>
      </c>
      <c r="E7" s="6">
        <f>COUNTIFS(CNAPP_ZTA_Mapping!A:A, "Domain 6", CNAPP_ZTA_Mapping!F:F, "*PEP*")</f>
        <v>2</v>
      </c>
      <c r="F7" s="6">
        <f>COUNTIFS(CNAPP_ZTA_Mapping!A:A, "Domain 6", CNAPP_ZTA_Mapping!F:F, "*Telemetry*")</f>
        <v>2</v>
      </c>
      <c r="G7" s="7">
        <f t="shared" si="0"/>
        <v>0.8</v>
      </c>
      <c r="H7" s="7">
        <f t="shared" si="1"/>
        <v>0.2</v>
      </c>
      <c r="I7" s="7">
        <f t="shared" si="2"/>
        <v>0.4</v>
      </c>
      <c r="J7" s="7">
        <f t="shared" si="3"/>
        <v>0.4</v>
      </c>
    </row>
    <row r="8" spans="1:10" ht="14.25" customHeight="1">
      <c r="A8" s="6" t="s">
        <v>107</v>
      </c>
      <c r="B8" s="6">
        <f>COUNTIF(CNAPP_ZTA_Mapping!A:A, "Domain 7")</f>
        <v>5</v>
      </c>
      <c r="C8" s="6">
        <f>COUNTIFS(CNAPP_ZTA_Mapping!A:A, "Domain 7", CNAPP_ZTA_Mapping!F:F, "*PE*")</f>
        <v>4</v>
      </c>
      <c r="D8" s="6">
        <f>COUNTIFS(CNAPP_ZTA_Mapping!A:A, "Domain 7", CNAPP_ZTA_Mapping!F:F, "*PA*")</f>
        <v>4</v>
      </c>
      <c r="E8" s="6">
        <f>COUNTIFS(CNAPP_ZTA_Mapping!A:A, "Domain 7", CNAPP_ZTA_Mapping!F:F, "*PEP*")</f>
        <v>3</v>
      </c>
      <c r="F8" s="6">
        <f>COUNTIFS(CNAPP_ZTA_Mapping!A:A, "Domain 7", CNAPP_ZTA_Mapping!F:F, "*Telemetry*")</f>
        <v>0</v>
      </c>
      <c r="G8" s="7">
        <f t="shared" si="0"/>
        <v>0.8</v>
      </c>
      <c r="H8" s="7">
        <f t="shared" si="1"/>
        <v>0.8</v>
      </c>
      <c r="I8" s="7">
        <f t="shared" si="2"/>
        <v>0.6</v>
      </c>
      <c r="J8" s="7">
        <f t="shared" si="3"/>
        <v>0</v>
      </c>
    </row>
    <row r="9" spans="1:10" ht="14.25" customHeight="1"/>
    <row r="10" spans="1:10" ht="14.25" customHeight="1"/>
    <row r="11" spans="1:10" ht="14.25" customHeight="1"/>
    <row r="12" spans="1:10" ht="14.25" customHeight="1"/>
    <row r="13" spans="1:10" ht="14.25" customHeight="1"/>
    <row r="14" spans="1:10" ht="14.25" customHeight="1"/>
    <row r="15" spans="1:10" ht="14.25" customHeight="1"/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I19" sqref="I19"/>
    </sheetView>
  </sheetViews>
  <sheetFormatPr defaultColWidth="14.44140625" defaultRowHeight="15" customHeight="1"/>
  <cols>
    <col min="1" max="1" width="16" customWidth="1"/>
    <col min="2" max="2" width="24" customWidth="1"/>
    <col min="3" max="3" width="31.109375" customWidth="1"/>
    <col min="4" max="4" width="26.33203125" customWidth="1"/>
    <col min="5" max="5" width="22" customWidth="1"/>
    <col min="6" max="6" width="27.6640625" customWidth="1"/>
    <col min="7" max="7" width="24.33203125" customWidth="1"/>
    <col min="8" max="8" width="26" customWidth="1"/>
    <col min="9" max="9" width="24.33203125" customWidth="1"/>
    <col min="10" max="10" width="26.33203125" customWidth="1"/>
    <col min="11" max="11" width="18" customWidth="1"/>
    <col min="12" max="26" width="8.6640625" customWidth="1"/>
  </cols>
  <sheetData>
    <row r="1" spans="1:26" ht="14.25" customHeight="1">
      <c r="A1" s="31" t="s">
        <v>223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26" ht="14.25" customHeight="1">
      <c r="A2" s="8" t="s">
        <v>224</v>
      </c>
      <c r="B2" s="8" t="s">
        <v>225</v>
      </c>
      <c r="C2" s="8" t="s">
        <v>226</v>
      </c>
      <c r="D2" s="8" t="s">
        <v>227</v>
      </c>
      <c r="E2" s="8" t="s">
        <v>228</v>
      </c>
      <c r="F2" s="8" t="s">
        <v>229</v>
      </c>
      <c r="G2" s="8" t="s">
        <v>230</v>
      </c>
      <c r="H2" s="8" t="s">
        <v>231</v>
      </c>
      <c r="I2" s="8" t="s">
        <v>232</v>
      </c>
      <c r="J2" s="8" t="s">
        <v>233</v>
      </c>
      <c r="K2" s="8" t="s">
        <v>234</v>
      </c>
    </row>
    <row r="3" spans="1:26" ht="14.25" customHeight="1">
      <c r="A3" s="9" t="s">
        <v>235</v>
      </c>
      <c r="B3" s="9" t="s">
        <v>236</v>
      </c>
      <c r="C3" s="9" t="s">
        <v>236</v>
      </c>
      <c r="D3" s="9" t="s">
        <v>237</v>
      </c>
      <c r="E3" s="9" t="s">
        <v>236</v>
      </c>
      <c r="F3" s="9" t="s">
        <v>237</v>
      </c>
      <c r="G3" s="9" t="s">
        <v>236</v>
      </c>
      <c r="H3" s="9" t="s">
        <v>236</v>
      </c>
      <c r="I3" s="9" t="s">
        <v>238</v>
      </c>
      <c r="J3" s="10" t="s">
        <v>239</v>
      </c>
      <c r="K3" s="9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3.8" customHeight="1">
      <c r="A4" s="9" t="s">
        <v>240</v>
      </c>
      <c r="B4" s="10" t="s">
        <v>241</v>
      </c>
      <c r="C4" s="10" t="s">
        <v>242</v>
      </c>
      <c r="D4" s="10" t="s">
        <v>243</v>
      </c>
      <c r="E4" s="10" t="s">
        <v>244</v>
      </c>
      <c r="F4" s="10" t="s">
        <v>245</v>
      </c>
      <c r="G4" s="10" t="s">
        <v>246</v>
      </c>
      <c r="H4" s="10" t="s">
        <v>247</v>
      </c>
      <c r="I4" s="10" t="s">
        <v>248</v>
      </c>
      <c r="J4" s="10" t="s">
        <v>249</v>
      </c>
      <c r="K4" s="9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3.8" customHeight="1">
      <c r="A5" s="9" t="s">
        <v>250</v>
      </c>
      <c r="B5" s="10" t="s">
        <v>251</v>
      </c>
      <c r="C5" s="10" t="s">
        <v>252</v>
      </c>
      <c r="D5" s="10" t="s">
        <v>253</v>
      </c>
      <c r="E5" s="10" t="s">
        <v>254</v>
      </c>
      <c r="F5" s="10" t="s">
        <v>255</v>
      </c>
      <c r="G5" s="10" t="s">
        <v>256</v>
      </c>
      <c r="H5" s="10" t="s">
        <v>257</v>
      </c>
      <c r="I5" s="10" t="s">
        <v>258</v>
      </c>
      <c r="J5" s="10" t="s">
        <v>259</v>
      </c>
      <c r="K5" s="9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3.8" customHeight="1">
      <c r="A6" s="9" t="s">
        <v>260</v>
      </c>
      <c r="B6" s="10" t="s">
        <v>261</v>
      </c>
      <c r="C6" s="10" t="s">
        <v>262</v>
      </c>
      <c r="D6" s="10" t="s">
        <v>263</v>
      </c>
      <c r="E6" s="10" t="s">
        <v>264</v>
      </c>
      <c r="F6" s="10" t="s">
        <v>265</v>
      </c>
      <c r="G6" s="10" t="s">
        <v>266</v>
      </c>
      <c r="H6" s="10" t="s">
        <v>267</v>
      </c>
      <c r="I6" s="10" t="s">
        <v>268</v>
      </c>
      <c r="J6" s="10" t="s">
        <v>269</v>
      </c>
      <c r="K6" s="9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8" customHeight="1">
      <c r="A7" s="9" t="s">
        <v>270</v>
      </c>
      <c r="B7" s="10" t="s">
        <v>271</v>
      </c>
      <c r="C7" s="10" t="s">
        <v>272</v>
      </c>
      <c r="D7" s="9" t="s">
        <v>273</v>
      </c>
      <c r="E7" s="9" t="s">
        <v>273</v>
      </c>
      <c r="F7" s="9" t="s">
        <v>273</v>
      </c>
      <c r="G7" s="10" t="s">
        <v>274</v>
      </c>
      <c r="H7" s="10" t="s">
        <v>275</v>
      </c>
      <c r="I7" s="10" t="s">
        <v>276</v>
      </c>
      <c r="J7" s="10" t="s">
        <v>277</v>
      </c>
      <c r="K7" s="9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>
      <c r="J8" s="12"/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K1"/>
  </mergeCells>
  <pageMargins left="0.75" right="0.75" top="1" bottom="1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>
      <pane ySplit="3" topLeftCell="A13" activePane="bottomLeft" state="frozen"/>
      <selection pane="bottomLeft" activeCell="J22" sqref="J22"/>
    </sheetView>
  </sheetViews>
  <sheetFormatPr defaultColWidth="14.44140625" defaultRowHeight="15" customHeight="1"/>
  <cols>
    <col min="1" max="1" width="32" customWidth="1"/>
    <col min="2" max="2" width="60.44140625" customWidth="1"/>
    <col min="3" max="3" width="10" customWidth="1"/>
    <col min="4" max="5" width="22" customWidth="1"/>
    <col min="6" max="6" width="8" customWidth="1"/>
    <col min="7" max="7" width="14" customWidth="1"/>
    <col min="8" max="8" width="12" customWidth="1"/>
    <col min="9" max="9" width="4.109375" customWidth="1"/>
    <col min="10" max="10" width="74.21875" customWidth="1"/>
    <col min="11" max="11" width="3.33203125" customWidth="1"/>
    <col min="12" max="26" width="8.6640625" customWidth="1"/>
  </cols>
  <sheetData>
    <row r="1" spans="1:11" ht="20.399999999999999" customHeight="1">
      <c r="A1" s="35" t="s">
        <v>278</v>
      </c>
      <c r="B1" s="32"/>
      <c r="C1" s="32"/>
      <c r="D1" s="32"/>
      <c r="E1" s="32"/>
      <c r="F1" s="32"/>
      <c r="G1" s="32"/>
      <c r="H1" s="33"/>
      <c r="I1" s="13"/>
      <c r="J1" s="14" t="s">
        <v>279</v>
      </c>
      <c r="K1" s="15"/>
    </row>
    <row r="2" spans="1:11" ht="14.25" customHeight="1">
      <c r="I2" s="13"/>
      <c r="J2" s="16"/>
      <c r="K2" s="15"/>
    </row>
    <row r="3" spans="1:11" ht="13.8" customHeight="1">
      <c r="A3" s="34" t="s">
        <v>280</v>
      </c>
      <c r="B3" s="32"/>
      <c r="C3" s="33"/>
      <c r="D3" s="34" t="s">
        <v>281</v>
      </c>
      <c r="E3" s="32"/>
      <c r="F3" s="32"/>
      <c r="G3" s="32"/>
      <c r="H3" s="33"/>
      <c r="I3" s="13"/>
      <c r="J3" s="17" t="s">
        <v>282</v>
      </c>
      <c r="K3" s="15"/>
    </row>
    <row r="4" spans="1:11" ht="31.8" customHeight="1">
      <c r="A4" s="18" t="s">
        <v>283</v>
      </c>
      <c r="B4" s="19">
        <v>0.2</v>
      </c>
      <c r="C4" s="15"/>
      <c r="D4" s="18" t="s">
        <v>284</v>
      </c>
      <c r="E4" s="20">
        <v>0.25</v>
      </c>
      <c r="G4" s="18" t="s">
        <v>285</v>
      </c>
      <c r="H4" s="20">
        <f>E4+E5+E6+E7</f>
        <v>1</v>
      </c>
      <c r="I4" s="13"/>
      <c r="J4" s="21" t="s">
        <v>286</v>
      </c>
      <c r="K4" s="15"/>
    </row>
    <row r="5" spans="1:11" ht="31.8" customHeight="1">
      <c r="A5" s="18" t="s">
        <v>287</v>
      </c>
      <c r="B5" s="19">
        <v>0.3</v>
      </c>
      <c r="C5" s="15"/>
      <c r="D5" s="18" t="s">
        <v>288</v>
      </c>
      <c r="E5" s="20">
        <v>0.25</v>
      </c>
      <c r="I5" s="13"/>
      <c r="J5" s="16"/>
      <c r="K5" s="15"/>
    </row>
    <row r="6" spans="1:11" ht="31.8" customHeight="1">
      <c r="A6" s="18" t="s">
        <v>289</v>
      </c>
      <c r="B6" s="19">
        <v>0.4</v>
      </c>
      <c r="C6" s="15"/>
      <c r="D6" s="18" t="s">
        <v>290</v>
      </c>
      <c r="E6" s="20">
        <v>0.3</v>
      </c>
      <c r="I6" s="13"/>
      <c r="J6" s="17" t="s">
        <v>291</v>
      </c>
      <c r="K6" s="15"/>
    </row>
    <row r="7" spans="1:11" ht="31.8" customHeight="1">
      <c r="A7" s="18" t="s">
        <v>292</v>
      </c>
      <c r="B7" s="19">
        <v>0.3</v>
      </c>
      <c r="C7" s="15"/>
      <c r="D7" s="18" t="s">
        <v>293</v>
      </c>
      <c r="E7" s="20">
        <v>0.2</v>
      </c>
      <c r="I7" s="13"/>
      <c r="J7" s="21" t="s">
        <v>294</v>
      </c>
      <c r="K7" s="15"/>
    </row>
    <row r="8" spans="1:11" ht="31.8" customHeight="1">
      <c r="A8" s="18" t="s">
        <v>295</v>
      </c>
      <c r="B8" s="19">
        <v>0.2</v>
      </c>
      <c r="C8" s="15"/>
      <c r="D8" s="18" t="s">
        <v>296</v>
      </c>
      <c r="E8" s="20">
        <v>0.5</v>
      </c>
      <c r="I8" s="13"/>
      <c r="J8" s="30"/>
      <c r="K8" s="15"/>
    </row>
    <row r="9" spans="1:11" ht="14.25" customHeight="1">
      <c r="C9" s="15"/>
      <c r="I9" s="13"/>
      <c r="J9" s="17" t="s">
        <v>297</v>
      </c>
      <c r="K9" s="15"/>
    </row>
    <row r="10" spans="1:11" ht="37.200000000000003" customHeight="1">
      <c r="A10" s="34" t="s">
        <v>298</v>
      </c>
      <c r="B10" s="32"/>
      <c r="C10" s="33"/>
      <c r="D10" s="34" t="s">
        <v>299</v>
      </c>
      <c r="E10" s="32"/>
      <c r="F10" s="32"/>
      <c r="G10" s="32"/>
      <c r="H10" s="33"/>
      <c r="I10" s="13"/>
      <c r="J10" s="21" t="s">
        <v>300</v>
      </c>
      <c r="K10" s="15"/>
    </row>
    <row r="11" spans="1:11" ht="28.8" customHeight="1">
      <c r="A11" s="18" t="s">
        <v>301</v>
      </c>
      <c r="B11" s="22">
        <v>0</v>
      </c>
      <c r="C11" s="15"/>
      <c r="D11" s="18" t="s">
        <v>302</v>
      </c>
      <c r="E11" s="23">
        <f>IF(SUM(B11:B14)&gt;0,1,0)</f>
        <v>0</v>
      </c>
      <c r="I11" s="13"/>
      <c r="J11" s="16"/>
      <c r="K11" s="15"/>
    </row>
    <row r="12" spans="1:11" ht="28.8" customHeight="1">
      <c r="A12" s="18" t="s">
        <v>303</v>
      </c>
      <c r="B12" s="22">
        <v>0</v>
      </c>
      <c r="C12" s="15"/>
      <c r="I12" s="13"/>
      <c r="J12" s="17" t="s">
        <v>304</v>
      </c>
      <c r="K12" s="15"/>
    </row>
    <row r="13" spans="1:11" ht="28.8" customHeight="1">
      <c r="A13" s="18" t="s">
        <v>305</v>
      </c>
      <c r="B13" s="22">
        <v>0</v>
      </c>
      <c r="C13" s="15"/>
      <c r="D13" s="34" t="s">
        <v>306</v>
      </c>
      <c r="E13" s="32"/>
      <c r="F13" s="33"/>
      <c r="G13" s="24" t="s">
        <v>307</v>
      </c>
      <c r="H13" s="15"/>
      <c r="I13" s="13"/>
      <c r="J13" s="21" t="s">
        <v>308</v>
      </c>
      <c r="K13" s="15"/>
    </row>
    <row r="14" spans="1:11" ht="28.8" customHeight="1">
      <c r="A14" s="18" t="s">
        <v>309</v>
      </c>
      <c r="B14" s="22">
        <v>0</v>
      </c>
      <c r="C14" s="15"/>
      <c r="D14" s="18" t="s">
        <v>310</v>
      </c>
      <c r="E14" s="20">
        <f>E4*B4 + E5*B5 + E6*B6 + E7*B7</f>
        <v>0.30499999999999999</v>
      </c>
      <c r="G14" s="18" t="s">
        <v>311</v>
      </c>
      <c r="H14" s="20">
        <v>0.25</v>
      </c>
      <c r="I14" s="13"/>
      <c r="J14" s="16"/>
      <c r="K14" s="15"/>
    </row>
    <row r="15" spans="1:11" ht="14.25" customHeight="1">
      <c r="C15" s="15"/>
      <c r="D15" s="18" t="s">
        <v>312</v>
      </c>
      <c r="E15" s="20">
        <f>E14*(1 + E8*B8)</f>
        <v>0.33550000000000002</v>
      </c>
      <c r="G15" s="18" t="s">
        <v>313</v>
      </c>
      <c r="H15" s="20">
        <v>0.5</v>
      </c>
      <c r="I15" s="13"/>
      <c r="J15" s="17" t="s">
        <v>314</v>
      </c>
      <c r="K15" s="15"/>
    </row>
    <row r="16" spans="1:11" ht="89.4" customHeight="1">
      <c r="A16" s="34" t="s">
        <v>315</v>
      </c>
      <c r="B16" s="32"/>
      <c r="C16" s="33"/>
      <c r="G16" s="18" t="s">
        <v>316</v>
      </c>
      <c r="H16" s="20">
        <v>0.75</v>
      </c>
      <c r="I16" s="13"/>
      <c r="J16" s="21" t="s">
        <v>317</v>
      </c>
      <c r="K16" s="15"/>
    </row>
    <row r="17" spans="1:11" ht="28.2" customHeight="1">
      <c r="A17" s="18" t="s">
        <v>235</v>
      </c>
      <c r="B17" s="25" t="s">
        <v>318</v>
      </c>
      <c r="C17" s="15"/>
      <c r="D17" s="26" t="s">
        <v>224</v>
      </c>
      <c r="E17" s="27" t="str">
        <f>IF(E11=1,"DENY (Gate Triggered)",IF(E15&lt;$H$14,"ALLOW",IF(E15&lt;$H$15,"RESTRICT",IF(E15&lt;$H$16,"QUARANTINE","ISOLATE"))))</f>
        <v>RESTRICT</v>
      </c>
      <c r="G17" s="18" t="s">
        <v>319</v>
      </c>
      <c r="H17" s="20">
        <v>0.75</v>
      </c>
      <c r="I17" s="13"/>
      <c r="J17" s="16"/>
      <c r="K17" s="15"/>
    </row>
    <row r="18" spans="1:11" ht="28.2" customHeight="1">
      <c r="A18" s="18" t="s">
        <v>240</v>
      </c>
      <c r="B18" s="25" t="s">
        <v>320</v>
      </c>
      <c r="C18" s="15"/>
      <c r="I18" s="13"/>
      <c r="J18" s="17" t="s">
        <v>321</v>
      </c>
      <c r="K18" s="15"/>
    </row>
    <row r="19" spans="1:11" ht="53.4" customHeight="1">
      <c r="A19" s="18" t="s">
        <v>250</v>
      </c>
      <c r="B19" s="25" t="s">
        <v>322</v>
      </c>
      <c r="C19" s="15"/>
      <c r="I19" s="13"/>
      <c r="J19" s="21" t="s">
        <v>323</v>
      </c>
      <c r="K19" s="15"/>
    </row>
    <row r="20" spans="1:11" ht="28.2" customHeight="1">
      <c r="A20" s="18" t="s">
        <v>260</v>
      </c>
      <c r="B20" s="25" t="s">
        <v>324</v>
      </c>
      <c r="C20" s="15"/>
      <c r="I20" s="13"/>
      <c r="J20" s="16"/>
      <c r="K20" s="15"/>
    </row>
    <row r="21" spans="1:11" ht="14.25" customHeight="1">
      <c r="C21" s="15"/>
      <c r="I21" s="13"/>
      <c r="J21" s="17" t="s">
        <v>325</v>
      </c>
      <c r="K21" s="15"/>
    </row>
    <row r="22" spans="1:11" ht="31.8" customHeight="1">
      <c r="C22" s="15"/>
      <c r="I22" s="13"/>
      <c r="J22" s="21" t="s">
        <v>326</v>
      </c>
      <c r="K22" s="15"/>
    </row>
    <row r="23" spans="1:11" ht="14.25" customHeight="1">
      <c r="A23" s="15"/>
      <c r="B23" s="15"/>
      <c r="C23" s="15"/>
      <c r="D23" s="15"/>
      <c r="E23" s="15"/>
      <c r="F23" s="15"/>
      <c r="G23" s="15"/>
      <c r="H23" s="15"/>
      <c r="I23" s="13"/>
      <c r="J23" s="15"/>
      <c r="K23" s="15"/>
    </row>
    <row r="24" spans="1:11" ht="14.25" customHeight="1"/>
    <row r="25" spans="1:11" ht="14.25" customHeight="1"/>
    <row r="26" spans="1:11" ht="14.25" customHeight="1"/>
    <row r="27" spans="1:11" ht="14.25" customHeight="1"/>
    <row r="28" spans="1:11" ht="14.25" customHeight="1"/>
    <row r="29" spans="1:11" ht="14.25" customHeight="1"/>
    <row r="30" spans="1:11" ht="14.25" customHeight="1"/>
    <row r="31" spans="1:11" ht="14.25" customHeight="1"/>
    <row r="32" spans="1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D13:F13"/>
    <mergeCell ref="A16:C16"/>
    <mergeCell ref="A1:H1"/>
    <mergeCell ref="A3:C3"/>
    <mergeCell ref="D3:H3"/>
    <mergeCell ref="A10:C10"/>
    <mergeCell ref="D10:H10"/>
  </mergeCells>
  <pageMargins left="0.75" right="0.75" top="1" bottom="1" header="0" footer="0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1" topLeftCell="A2" activePane="bottomLeft" state="frozen"/>
      <selection pane="bottomLeft" activeCell="C8" sqref="C7:C8"/>
    </sheetView>
  </sheetViews>
  <sheetFormatPr defaultColWidth="14.44140625" defaultRowHeight="15" customHeight="1"/>
  <cols>
    <col min="1" max="1" width="10" customWidth="1"/>
    <col min="2" max="2" width="28" customWidth="1"/>
    <col min="3" max="3" width="16.44140625" customWidth="1"/>
    <col min="4" max="8" width="6" customWidth="1"/>
    <col min="9" max="13" width="5" customWidth="1"/>
    <col min="14" max="14" width="8.88671875" customWidth="1"/>
    <col min="15" max="15" width="11.88671875" customWidth="1"/>
    <col min="16" max="16" width="9.6640625" customWidth="1"/>
    <col min="17" max="17" width="15.109375" customWidth="1"/>
    <col min="18" max="18" width="10" customWidth="1"/>
    <col min="19" max="19" width="15.6640625" customWidth="1"/>
    <col min="20" max="20" width="29.88671875" customWidth="1"/>
    <col min="21" max="21" width="28.6640625" customWidth="1"/>
    <col min="22" max="22" width="26" customWidth="1"/>
    <col min="23" max="23" width="24" customWidth="1"/>
    <col min="24" max="24" width="47.44140625" customWidth="1"/>
    <col min="25" max="25" width="22" customWidth="1"/>
    <col min="26" max="26" width="18" customWidth="1"/>
  </cols>
  <sheetData>
    <row r="1" spans="1:26" ht="46.5" customHeight="1">
      <c r="A1" s="8" t="s">
        <v>327</v>
      </c>
      <c r="B1" s="8" t="s">
        <v>328</v>
      </c>
      <c r="C1" s="8" t="s">
        <v>329</v>
      </c>
      <c r="D1" s="8" t="s">
        <v>145</v>
      </c>
      <c r="E1" s="8" t="s">
        <v>136</v>
      </c>
      <c r="F1" s="8" t="s">
        <v>167</v>
      </c>
      <c r="G1" s="8" t="s">
        <v>155</v>
      </c>
      <c r="H1" s="8" t="s">
        <v>330</v>
      </c>
      <c r="I1" s="8" t="s">
        <v>331</v>
      </c>
      <c r="J1" s="8" t="s">
        <v>332</v>
      </c>
      <c r="K1" s="8" t="s">
        <v>333</v>
      </c>
      <c r="L1" s="8" t="s">
        <v>334</v>
      </c>
      <c r="M1" s="8" t="s">
        <v>335</v>
      </c>
      <c r="N1" s="8" t="s">
        <v>301</v>
      </c>
      <c r="O1" s="8" t="s">
        <v>303</v>
      </c>
      <c r="P1" s="8" t="s">
        <v>336</v>
      </c>
      <c r="Q1" s="8" t="s">
        <v>337</v>
      </c>
      <c r="R1" s="8" t="s">
        <v>310</v>
      </c>
      <c r="S1" s="8" t="s">
        <v>312</v>
      </c>
      <c r="T1" s="8" t="s">
        <v>224</v>
      </c>
      <c r="U1" s="8" t="s">
        <v>225</v>
      </c>
      <c r="V1" s="8" t="s">
        <v>226</v>
      </c>
      <c r="W1" s="8" t="s">
        <v>338</v>
      </c>
      <c r="X1" s="8" t="s">
        <v>230</v>
      </c>
      <c r="Y1" s="8" t="s">
        <v>339</v>
      </c>
      <c r="Z1" s="8" t="s">
        <v>234</v>
      </c>
    </row>
    <row r="2" spans="1:26" ht="49.2" customHeight="1">
      <c r="A2" s="9" t="s">
        <v>340</v>
      </c>
      <c r="B2" s="10" t="s">
        <v>341</v>
      </c>
      <c r="C2" s="9" t="s">
        <v>135</v>
      </c>
      <c r="D2" s="28">
        <v>0.2</v>
      </c>
      <c r="E2" s="28">
        <v>0.4</v>
      </c>
      <c r="F2" s="28">
        <v>0.1</v>
      </c>
      <c r="G2" s="28">
        <v>0.3</v>
      </c>
      <c r="H2" s="28">
        <v>0.3</v>
      </c>
      <c r="I2" s="28">
        <v>0.25</v>
      </c>
      <c r="J2" s="28">
        <v>0.25</v>
      </c>
      <c r="K2" s="28">
        <v>0.3</v>
      </c>
      <c r="L2" s="28">
        <v>0.2</v>
      </c>
      <c r="M2" s="28">
        <v>0.5</v>
      </c>
      <c r="N2" s="29">
        <v>1</v>
      </c>
      <c r="O2" s="29">
        <v>0</v>
      </c>
      <c r="P2" s="29">
        <v>0</v>
      </c>
      <c r="Q2" s="29">
        <v>0</v>
      </c>
      <c r="R2" s="28">
        <f t="shared" ref="R2:R5" si="0">I2*D2+J2*E2+K2*F2+L2*G2</f>
        <v>0.24000000000000002</v>
      </c>
      <c r="S2" s="28">
        <f t="shared" ref="S2:S5" si="1">R2*(1+M2*H2)</f>
        <v>0.27600000000000002</v>
      </c>
      <c r="T2" s="9" t="str">
        <f t="shared" ref="T2:T5" si="2">IF(SUM(N2:Q2)&gt;0,"DENY (Gate Triggered)",IF(S2&lt;0.25,"ALLOW",IF(S2&lt;0.5,"RESTRICT",IF(S2&lt;0.75,"QUARANTINE","ISOLATE"))))</f>
        <v>DENY (Gate Triggered)</v>
      </c>
      <c r="U2" s="10" t="str">
        <f>IFERROR(VLOOKUP($T2,Decision_to_PEP_Actions!$A:$K,2,FALSE),"")</f>
        <v>Deny admission (hard gate)</v>
      </c>
      <c r="V2" s="10" t="str">
        <f>IFERROR(VLOOKUP($T2,Decision_to_PEP_Actions!$A:$K,3,FALSE),"")</f>
        <v>Apply emergency deny profile (optional)</v>
      </c>
      <c r="W2" s="10" t="str">
        <f>IFERROR(VLOOKUP($T2,Decision_to_PEP_Actions!$A:$K,5,FALSE),"")</f>
        <v>N/A</v>
      </c>
      <c r="X2" s="10" t="str">
        <f>IFERROR(VLOOKUP($T2,Decision_to_PEP_Actions!$A:$K,7,FALSE),"")</f>
        <v>Revoke if credential-related gate</v>
      </c>
      <c r="Y2" s="10" t="str">
        <f>IFERROR(VLOOKUP($T2,Decision_to_PEP_Actions!$A:$K,8,FALSE),"")</f>
        <v>Lockdown if exposure-related gate</v>
      </c>
      <c r="Z2" s="2"/>
    </row>
    <row r="3" spans="1:26" ht="49.2" customHeight="1">
      <c r="A3" s="9" t="s">
        <v>342</v>
      </c>
      <c r="B3" s="10" t="s">
        <v>343</v>
      </c>
      <c r="C3" s="9" t="s">
        <v>152</v>
      </c>
      <c r="D3" s="28">
        <v>0.6</v>
      </c>
      <c r="E3" s="28">
        <v>0.2</v>
      </c>
      <c r="F3" s="28">
        <v>0.1</v>
      </c>
      <c r="G3" s="28">
        <v>0.4</v>
      </c>
      <c r="H3" s="28">
        <v>0.6</v>
      </c>
      <c r="I3" s="28">
        <v>0.25</v>
      </c>
      <c r="J3" s="28">
        <v>0.25</v>
      </c>
      <c r="K3" s="28">
        <v>0.3</v>
      </c>
      <c r="L3" s="28">
        <v>0.2</v>
      </c>
      <c r="M3" s="28">
        <v>0.5</v>
      </c>
      <c r="N3" s="29">
        <v>0</v>
      </c>
      <c r="O3" s="29">
        <v>0</v>
      </c>
      <c r="P3" s="29">
        <v>0</v>
      </c>
      <c r="Q3" s="29">
        <v>0</v>
      </c>
      <c r="R3" s="28">
        <f t="shared" si="0"/>
        <v>0.31000000000000005</v>
      </c>
      <c r="S3" s="28">
        <f t="shared" si="1"/>
        <v>0.40300000000000008</v>
      </c>
      <c r="T3" s="9" t="str">
        <f t="shared" si="2"/>
        <v>RESTRICT</v>
      </c>
      <c r="U3" s="10" t="str">
        <f>IFERROR(VLOOKUP($T3,Decision_to_PEP_Actions!$A:$K,2,FALSE),"")</f>
        <v>Tighten admission policy (optional)</v>
      </c>
      <c r="V3" s="10" t="str">
        <f>IFERROR(VLOOKUP($T3,Decision_to_PEP_Actions!$A:$K,3,FALSE),"")</f>
        <v>Apply egress restriction profile</v>
      </c>
      <c r="W3" s="10" t="str">
        <f>IFERROR(VLOOKUP($T3,Decision_to_PEP_Actions!$A:$K,5,FALSE),"")</f>
        <v>Restrict outbound to approved destinations</v>
      </c>
      <c r="X3" s="10" t="str">
        <f>IFERROR(VLOOKUP($T3,Decision_to_PEP_Actions!$A:$K,7,FALSE),"")</f>
        <v>Apply session constraints / reduce permissions (policy boundary)</v>
      </c>
      <c r="Y3" s="10" t="str">
        <f>IFERROR(VLOOKUP($T3,Decision_to_PEP_Actions!$A:$K,8,FALSE),"")</f>
        <v>Tighten SG egress; remove wide ingress</v>
      </c>
      <c r="Z3" s="2"/>
    </row>
    <row r="4" spans="1:26" ht="49.2" customHeight="1">
      <c r="A4" s="9" t="s">
        <v>344</v>
      </c>
      <c r="B4" s="10" t="s">
        <v>345</v>
      </c>
      <c r="C4" s="9" t="s">
        <v>177</v>
      </c>
      <c r="D4" s="28">
        <v>0.4</v>
      </c>
      <c r="E4" s="28">
        <v>0.3</v>
      </c>
      <c r="F4" s="28">
        <v>0.8</v>
      </c>
      <c r="G4" s="28">
        <v>0.3</v>
      </c>
      <c r="H4" s="28">
        <v>0.7</v>
      </c>
      <c r="I4" s="28">
        <v>0.25</v>
      </c>
      <c r="J4" s="28">
        <v>0.25</v>
      </c>
      <c r="K4" s="28">
        <v>0.3</v>
      </c>
      <c r="L4" s="28">
        <v>0.2</v>
      </c>
      <c r="M4" s="28">
        <v>0.5</v>
      </c>
      <c r="N4" s="29">
        <v>0</v>
      </c>
      <c r="O4" s="29">
        <v>0</v>
      </c>
      <c r="P4" s="29">
        <v>0</v>
      </c>
      <c r="Q4" s="29">
        <v>0</v>
      </c>
      <c r="R4" s="28">
        <f t="shared" si="0"/>
        <v>0.47499999999999998</v>
      </c>
      <c r="S4" s="28">
        <f t="shared" si="1"/>
        <v>0.64124999999999999</v>
      </c>
      <c r="T4" s="9" t="str">
        <f t="shared" si="2"/>
        <v>QUARANTINE</v>
      </c>
      <c r="U4" s="10" t="str">
        <f>IFERROR(VLOOKUP($T4,Decision_to_PEP_Actions!$A:$K,2,FALSE),"")</f>
        <v>Block new deploys for workload/namespace</v>
      </c>
      <c r="V4" s="10" t="str">
        <f>IFERROR(VLOOKUP($T4,Decision_to_PEP_Actions!$A:$K,3,FALSE),"")</f>
        <v>Quarantine namespace/pod; deny east-west except IR tools</v>
      </c>
      <c r="W4" s="10" t="str">
        <f>IFERROR(VLOOKUP($T4,Decision_to_PEP_Actions!$A:$K,5,FALSE),"")</f>
        <v>Isolate host: block all except IR VLAN/collector</v>
      </c>
      <c r="X4" s="10" t="str">
        <f>IFERROR(VLOOKUP($T4,Decision_to_PEP_Actions!$A:$K,7,FALSE),"")</f>
        <v>Revoke STS sessions for related role; disable access keys</v>
      </c>
      <c r="Y4" s="10" t="str">
        <f>IFERROR(VLOOKUP($T4,Decision_to_PEP_Actions!$A:$K,8,FALSE),"")</f>
        <v>Lockdown SG to IR endpoints only</v>
      </c>
      <c r="Z4" s="2"/>
    </row>
    <row r="5" spans="1:26" ht="55.8" customHeight="1">
      <c r="A5" s="9" t="s">
        <v>346</v>
      </c>
      <c r="B5" s="10" t="s">
        <v>347</v>
      </c>
      <c r="C5" s="9" t="s">
        <v>141</v>
      </c>
      <c r="D5" s="28">
        <v>0.3</v>
      </c>
      <c r="E5" s="28">
        <v>0.9</v>
      </c>
      <c r="F5" s="28">
        <v>0.2</v>
      </c>
      <c r="G5" s="28">
        <v>0.9</v>
      </c>
      <c r="H5" s="28">
        <v>0.8</v>
      </c>
      <c r="I5" s="28">
        <v>0.25</v>
      </c>
      <c r="J5" s="28">
        <v>0.25</v>
      </c>
      <c r="K5" s="28">
        <v>0.3</v>
      </c>
      <c r="L5" s="28">
        <v>0.2</v>
      </c>
      <c r="M5" s="28">
        <v>0.5</v>
      </c>
      <c r="N5" s="29">
        <v>0</v>
      </c>
      <c r="O5" s="29">
        <v>0</v>
      </c>
      <c r="P5" s="29">
        <v>0</v>
      </c>
      <c r="Q5" s="29">
        <v>1</v>
      </c>
      <c r="R5" s="28">
        <f t="shared" si="0"/>
        <v>0.54</v>
      </c>
      <c r="S5" s="28">
        <f t="shared" si="1"/>
        <v>0.75600000000000001</v>
      </c>
      <c r="T5" s="9" t="str">
        <f t="shared" si="2"/>
        <v>DENY (Gate Triggered)</v>
      </c>
      <c r="U5" s="10" t="str">
        <f>IFERROR(VLOOKUP($T5,Decision_to_PEP_Actions!$A:$K,2,FALSE),"")</f>
        <v>Deny admission (hard gate)</v>
      </c>
      <c r="V5" s="10" t="str">
        <f>IFERROR(VLOOKUP($T5,Decision_to_PEP_Actions!$A:$K,3,FALSE),"")</f>
        <v>Apply emergency deny profile (optional)</v>
      </c>
      <c r="W5" s="10" t="str">
        <f>IFERROR(VLOOKUP($T5,Decision_to_PEP_Actions!$A:$K,5,FALSE),"")</f>
        <v>N/A</v>
      </c>
      <c r="X5" s="10" t="str">
        <f>IFERROR(VLOOKUP($T5,Decision_to_PEP_Actions!$A:$K,7,FALSE),"")</f>
        <v>Revoke if credential-related gate</v>
      </c>
      <c r="Y5" s="10" t="str">
        <f>IFERROR(VLOOKUP($T5,Decision_to_PEP_Actions!$A:$K,8,FALSE),"")</f>
        <v>Lockdown if exposure-related gate</v>
      </c>
      <c r="Z5" s="2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CNAPP_Taxonomy</vt:lpstr>
      <vt:lpstr>CNAPP_ZTA_Mapping</vt:lpstr>
      <vt:lpstr>Alignment_Density_Summary</vt:lpstr>
      <vt:lpstr>ZTA_Component_Distribution</vt:lpstr>
      <vt:lpstr>Decision_to_PEP_Actions</vt:lpstr>
      <vt:lpstr>Trust_Decision_Simulator</vt:lpstr>
      <vt:lpstr>Trust_Case_Log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wcvaughn@SCIRES.COM</dc:creator>
  <cp:lastModifiedBy>Vaughn, William</cp:lastModifiedBy>
  <dcterms:created xsi:type="dcterms:W3CDTF">2026-02-15T04:38:42Z</dcterms:created>
  <dcterms:modified xsi:type="dcterms:W3CDTF">2026-02-17T12:30:40Z</dcterms:modified>
</cp:coreProperties>
</file>